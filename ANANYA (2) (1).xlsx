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67B9F08-0F4F-42DA-8C22-1B15997B1710}" xr6:coauthVersionLast="47" xr6:coauthVersionMax="47" xr10:uidLastSave="{00000000-0000-0000-0000-000000000000}"/>
  <bookViews>
    <workbookView xWindow="-120" yWindow="-120" windowWidth="20730" windowHeight="11040" activeTab="6" xr2:uid="{DE367E80-5B2A-4982-BA95-76C2E82431EC}"/>
  </bookViews>
  <sheets>
    <sheet name="Sheet1" sheetId="1" r:id="rId1"/>
    <sheet name="Sheet2" sheetId="2" r:id="rId2"/>
    <sheet name="Sheet3" sheetId="3" r:id="rId3"/>
    <sheet name="Sheet4" sheetId="5" r:id="rId4"/>
    <sheet name="Sheet5" sheetId="6" r:id="rId5"/>
    <sheet name="Sheet6" sheetId="7" r:id="rId6"/>
    <sheet name="Sheet7" sheetId="8" r:id="rId7"/>
    <sheet name="Sheet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9" l="1"/>
  <c r="G4" i="9"/>
  <c r="G5" i="9"/>
  <c r="G2" i="9"/>
  <c r="L25" i="8"/>
  <c r="L20" i="8"/>
  <c r="O20" i="8"/>
  <c r="H16" i="8"/>
  <c r="I21" i="8"/>
  <c r="I20" i="8"/>
  <c r="N16" i="8"/>
  <c r="K16" i="8"/>
  <c r="E16" i="8"/>
  <c r="B16" i="8"/>
  <c r="X4" i="8"/>
  <c r="U4" i="8"/>
  <c r="R4" i="8"/>
  <c r="O4" i="8"/>
  <c r="L4" i="8"/>
  <c r="I5" i="8"/>
  <c r="I6" i="8"/>
  <c r="I7" i="8"/>
  <c r="I8" i="8"/>
  <c r="I4" i="8"/>
  <c r="B21" i="7" a="1"/>
  <c r="B22" i="7" a="1"/>
  <c r="B23" i="7" a="1"/>
  <c r="B24" i="7" a="1"/>
  <c r="B25" i="7" a="1"/>
  <c r="B20" i="7" a="1"/>
  <c r="J20" i="7"/>
  <c r="P8" i="7"/>
  <c r="P9" i="7"/>
  <c r="P10" i="7"/>
  <c r="P11" i="7"/>
  <c r="P12" i="7"/>
  <c r="P13" i="7"/>
  <c r="P14" i="7"/>
  <c r="P15" i="7"/>
  <c r="P7" i="7"/>
  <c r="P6" i="7"/>
  <c r="M8" i="7"/>
  <c r="M9" i="7"/>
  <c r="M10" i="7"/>
  <c r="M11" i="7"/>
  <c r="M12" i="7"/>
  <c r="M13" i="7"/>
  <c r="M7" i="7"/>
  <c r="J7" i="7"/>
  <c r="J8" i="7"/>
  <c r="J9" i="7"/>
  <c r="J10" i="7"/>
  <c r="J11" i="7"/>
  <c r="J12" i="7"/>
  <c r="J13" i="7"/>
  <c r="J14" i="7"/>
  <c r="J15" i="7"/>
  <c r="J6" i="7"/>
  <c r="S20" i="6"/>
  <c r="S21" i="6"/>
  <c r="S22" i="6"/>
  <c r="S19" i="6"/>
  <c r="N20" i="6"/>
  <c r="N21" i="6"/>
  <c r="N22" i="6"/>
  <c r="N19" i="6"/>
  <c r="F20" i="6"/>
  <c r="F21" i="6"/>
  <c r="F22" i="6"/>
  <c r="F19" i="6"/>
  <c r="R12" i="6"/>
  <c r="R13" i="6"/>
  <c r="R14" i="6"/>
  <c r="R11" i="6"/>
  <c r="L12" i="6"/>
  <c r="L13" i="6"/>
  <c r="L14" i="6"/>
  <c r="L11" i="6"/>
  <c r="F11" i="6" a="1"/>
  <c r="S3" i="6"/>
  <c r="S4" i="6"/>
  <c r="S5" i="6"/>
  <c r="S2" i="6"/>
  <c r="M3" i="6"/>
  <c r="M4" i="6"/>
  <c r="M5" i="6"/>
  <c r="M6" i="6"/>
  <c r="M2" i="6"/>
  <c r="I3" i="6"/>
  <c r="I4" i="6"/>
  <c r="I5" i="6"/>
  <c r="I2" i="6"/>
  <c r="D3" i="6"/>
  <c r="D4" i="6"/>
  <c r="D5" i="6"/>
  <c r="D6" i="6"/>
  <c r="D2" i="6"/>
  <c r="Q5" i="5"/>
  <c r="Q4" i="5"/>
  <c r="Q1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<sst xmlns="http://schemas.openxmlformats.org/spreadsheetml/2006/main" count="722" uniqueCount="241">
  <si>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</si>
  <si>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</si>
  <si>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</si>
  <si>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</si>
  <si>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</si>
  <si>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</si>
  <si>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</si>
  <si>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</si>
  <si>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</si>
  <si>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</si>
  <si>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</si>
  <si>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</si>
  <si>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</si>
  <si>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</si>
  <si>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</si>
  <si>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</si>
  <si>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</si>
  <si>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</si>
  <si>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</si>
  <si>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</si>
  <si>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</si>
  <si>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</si>
  <si>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</si>
  <si>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</si>
  <si>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</si>
  <si>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</si>
  <si>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</si>
  <si>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</si>
  <si>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</si>
  <si>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</si>
  <si>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</si>
  <si>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</si>
  <si>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</si>
  <si>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</si>
  <si>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 xml:space="preserve"> 12-01-2022</t>
  </si>
  <si>
    <t xml:space="preserve"> 05-03-2021</t>
  </si>
  <si>
    <t xml:space="preserve"> 18-07-2020</t>
  </si>
  <si>
    <t xml:space="preserve"> 10-11-2019</t>
  </si>
  <si>
    <t xml:space="preserve"> 25-06-2023</t>
  </si>
  <si>
    <t xml:space="preserve"> 12-01-2023</t>
  </si>
  <si>
    <t xml:space="preserve"> 05-03-2022</t>
  </si>
  <si>
    <t xml:space="preserve"> 18-07-2021</t>
  </si>
  <si>
    <t xml:space="preserve"> 10-11-2020</t>
  </si>
  <si>
    <t xml:space="preserve"> 25-06-2024</t>
  </si>
  <si>
    <t xml:space="preserve"> 12-01-2024</t>
  </si>
  <si>
    <t xml:space="preserve"> 05-03-2023</t>
  </si>
  <si>
    <t xml:space="preserve"> 18-07-2022</t>
  </si>
  <si>
    <t xml:space="preserve"> 10-11-2021</t>
  </si>
  <si>
    <t xml:space="preserve"> 25-06-2025</t>
  </si>
  <si>
    <t xml:space="preserve"> 12-01-2025</t>
  </si>
  <si>
    <t xml:space="preserve"> 05-03-2024</t>
  </si>
  <si>
    <t xml:space="preserve"> 18-07-2023</t>
  </si>
  <si>
    <t xml:space="preserve"> 10-11-2022</t>
  </si>
  <si>
    <t xml:space="preserve"> 25-06-2026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</si>
  <si>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</si>
  <si>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</si>
  <si>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</si>
  <si>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</si>
  <si>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</si>
  <si>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</si>
  <si>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</si>
  <si>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</si>
  <si>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</si>
  <si>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</si>
  <si>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</si>
  <si>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</si>
  <si>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</si>
  <si>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</si>
  <si>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</si>
  <si>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</si>
  <si>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</si>
  <si>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</si>
  <si>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</si>
  <si>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</si>
  <si>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 xml:space="preserve"> 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</si>
  <si>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</si>
  <si>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</si>
  <si>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</si>
  <si>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</si>
  <si>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</si>
  <si>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</si>
  <si>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</si>
  <si>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</si>
  <si>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</si>
  <si>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</si>
  <si>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</si>
  <si>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Employee Name</t>
  </si>
  <si>
    <t>Suresh</t>
  </si>
  <si>
    <t>Meena</t>
  </si>
  <si>
    <t>Karan</t>
  </si>
  <si>
    <t>Ritu</t>
  </si>
  <si>
    <t>Aman</t>
  </si>
  <si>
    <t>Neel</t>
  </si>
  <si>
    <t xml:space="preserve"> HR</t>
  </si>
  <si>
    <t xml:space="preserve"> </t>
  </si>
  <si>
    <t xml:space="preserve"> =sum(U5:U11)</t>
  </si>
  <si>
    <t>Rohit</t>
  </si>
  <si>
    <t>Simran</t>
  </si>
  <si>
    <t>Vijay</t>
  </si>
  <si>
    <t>Nisha</t>
  </si>
  <si>
    <t>Mohan</t>
  </si>
  <si>
    <t>Marks</t>
  </si>
  <si>
    <t>Bharti</t>
  </si>
  <si>
    <t>Chetan</t>
  </si>
  <si>
    <t>Deepa</t>
  </si>
  <si>
    <t>Farhan</t>
  </si>
  <si>
    <t>Product</t>
  </si>
  <si>
    <t>Mobile</t>
  </si>
  <si>
    <t>Headphones</t>
  </si>
  <si>
    <t>Laptop</t>
  </si>
  <si>
    <t>Keyboard</t>
  </si>
  <si>
    <t>Tablet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</si>
  <si>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</si>
  <si>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</si>
  <si>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</si>
  <si>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</si>
  <si>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</si>
  <si>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</si>
  <si>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</si>
  <si>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</si>
  <si>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</si>
  <si>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</si>
  <si>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</si>
  <si>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</si>
  <si>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</si>
  <si>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</si>
  <si>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</si>
  <si>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</si>
  <si>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</si>
  <si>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</si>
  <si>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</si>
  <si>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</si>
  <si>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</si>
  <si>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count(greater than 10000</t>
  </si>
  <si>
    <t>count(below 5000)</t>
  </si>
  <si>
    <t>Result</t>
  </si>
  <si>
    <t>Rohan</t>
  </si>
  <si>
    <t>Bonus Status</t>
  </si>
  <si>
    <t>Grade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</si>
  <si>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</si>
  <si>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</si>
  <si>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</si>
  <si>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</si>
  <si>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</si>
  <si>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</si>
  <si>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</si>
  <si>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</si>
  <si>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</si>
  <si>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</si>
  <si>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</si>
  <si>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Bhavna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</si>
  <si>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</si>
  <si>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</si>
  <si>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</si>
  <si>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</si>
  <si>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</si>
  <si>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</si>
  <si>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</si>
  <si>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</si>
  <si>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Performance</t>
  </si>
  <si>
    <t>Raj</t>
  </si>
  <si>
    <t>Sunita</t>
  </si>
  <si>
    <t>Manoj</t>
  </si>
  <si>
    <t>Task</t>
  </si>
  <si>
    <t>Attendance ≥ 90 AND Targets ≥ 40 → Excellent</t>
  </si>
  <si>
    <t>Attendance ≥ 80 → Good</t>
  </si>
  <si>
    <t>Else → Needs Improvement</t>
  </si>
  <si>
    <t xml:space="preserve"> Vlookup</t>
  </si>
  <si>
    <t>emp id</t>
  </si>
  <si>
    <t>department</t>
  </si>
  <si>
    <t xml:space="preserve"> salary</t>
  </si>
  <si>
    <t>city</t>
  </si>
  <si>
    <t>AMIT</t>
  </si>
  <si>
    <t>NEHA</t>
  </si>
  <si>
    <t>RAHUL</t>
  </si>
  <si>
    <t>PRIYA</t>
  </si>
  <si>
    <t>KARAN</t>
  </si>
  <si>
    <t>SNEHA</t>
  </si>
  <si>
    <t>ARJUN</t>
  </si>
  <si>
    <t>MEERA</t>
  </si>
  <si>
    <t>VIKRAM</t>
  </si>
  <si>
    <t>RIYA</t>
  </si>
  <si>
    <t>Marketing</t>
  </si>
  <si>
    <t>Ahmedabad</t>
  </si>
  <si>
    <t>Mumbai</t>
  </si>
  <si>
    <t>Delhi</t>
  </si>
  <si>
    <t>Pune</t>
  </si>
  <si>
    <t>Bengaluru</t>
  </si>
  <si>
    <t>Jaipur</t>
  </si>
  <si>
    <t>Hyderabad</t>
  </si>
  <si>
    <t>Chennai</t>
  </si>
  <si>
    <t>Kolkata</t>
  </si>
  <si>
    <t>Surat</t>
  </si>
  <si>
    <t>name</t>
  </si>
  <si>
    <t xml:space="preserve"> DEPARTMENT         </t>
  </si>
  <si>
    <t xml:space="preserve"> SALARY</t>
  </si>
  <si>
    <t>EMP ID</t>
  </si>
  <si>
    <t>SALARY</t>
  </si>
  <si>
    <t xml:space="preserve">DEPARTMENT  </t>
  </si>
  <si>
    <r>
      <t xml:space="preserve"> </t>
    </r>
    <r>
      <rPr>
        <b/>
        <sz val="12"/>
        <color theme="1"/>
        <rFont val="Calibri"/>
        <family val="2"/>
        <scheme val="minor"/>
      </rPr>
      <t>sheet 6 lookup,vlookup,xlookup practice</t>
    </r>
  </si>
  <si>
    <t>Location</t>
  </si>
  <si>
    <t>JoiningYear</t>
  </si>
  <si>
    <t>Rahul Sharma</t>
  </si>
  <si>
    <t>Ananya Gupta</t>
  </si>
  <si>
    <t>Rohit Verma</t>
  </si>
  <si>
    <t>Bangalore</t>
  </si>
  <si>
    <t>Neha Singh</t>
  </si>
  <si>
    <t>Aman Kumar</t>
  </si>
  <si>
    <t>Pooja Mehta</t>
  </si>
  <si>
    <t>Suresh Rao</t>
  </si>
  <si>
    <t>Kavita Iyer</t>
  </si>
  <si>
    <t>Employee id</t>
  </si>
  <si>
    <t xml:space="preserve">EMPLOYEE ID </t>
  </si>
  <si>
    <t xml:space="preserve"> NAME</t>
  </si>
  <si>
    <t>EMPLOYEE ID</t>
  </si>
  <si>
    <t xml:space="preserve"> DEPARTMENT</t>
  </si>
  <si>
    <t>NAME</t>
  </si>
  <si>
    <t xml:space="preserve">LOCATION </t>
  </si>
  <si>
    <t xml:space="preserve"> EMP ID</t>
  </si>
  <si>
    <t>JOINING YEAR</t>
  </si>
  <si>
    <t>Bonus %</t>
  </si>
  <si>
    <t>BONUS</t>
  </si>
  <si>
    <t>DEPARTMENT</t>
  </si>
  <si>
    <t>location</t>
  </si>
  <si>
    <t>E999</t>
  </si>
  <si>
    <t>FINANCE</t>
  </si>
  <si>
    <t>BONUS AMOUNT</t>
  </si>
  <si>
    <t>CIVIL</t>
  </si>
  <si>
    <t>Customer</t>
  </si>
  <si>
    <t>Qty</t>
  </si>
  <si>
    <t>Unit Price</t>
  </si>
  <si>
    <t>Amit</t>
  </si>
  <si>
    <t>Delivered</t>
  </si>
  <si>
    <t>Neha</t>
  </si>
  <si>
    <t>Mouse</t>
  </si>
  <si>
    <t>Pending</t>
  </si>
  <si>
    <t>Ravi</t>
  </si>
  <si>
    <t>Priya</t>
  </si>
  <si>
    <t>Monitor</t>
  </si>
  <si>
    <t>Cancelled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</si>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</sst>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3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FFFF"/>
      <name val="Segoe UI"/>
      <family val="2"/>
    </font>
    <font>
      <sz val="12"/>
      <color theme="1"/>
      <name val="Segoe UI"/>
      <family val="2"/>
    </font>
    <font>
      <sz val="11"/>
      <color theme="1"/>
      <name val="Calibri"/>
      <family val="2"/>
      <scheme val="minor"/>
    </font>
    <font>
      <sz val="13.75"/>
      <color rgb="FFFFFFFF"/>
      <name val="Segoe UI"/>
      <family val="2"/>
    </font>
    <font>
      <b/>
      <sz val="12"/>
      <color theme="1"/>
      <name val="Calibri"/>
      <family val="2"/>
      <scheme val="minor"/>
    </font>
    <font>
      <sz val="12"/>
      <color rgb="FFFFFFFF"/>
      <name val="Segoe UI"/>
      <family val="2"/>
    </font>
    <font>
      <b/>
      <sz val="12"/>
      <color rgb="FFFFFFFF"/>
      <name val="Segoe UI"/>
      <family val="2"/>
    </font>
    <font>
      <sz val="12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10409"/>
        <bgColor indexed="64"/>
      </patternFill>
    </fill>
    <fill>
      <patternFill patternType="solid">
        <fgColor rgb="FF151B23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rgb="FFB7BDC8"/>
      </left>
      <right style="medium">
        <color rgb="FFB7BDC8"/>
      </right>
      <top style="medium">
        <color rgb="FFB7BDC8"/>
      </top>
      <bottom style="medium">
        <color rgb="FFB7BD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rgb="FFB7BDC8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medium">
        <color rgb="FFB7BDC8"/>
      </right>
      <top style="medium">
        <color rgb="FFB7BDC8"/>
      </top>
      <bottom style="medium">
        <color rgb="FFB7BDC8"/>
      </bottom>
      <diagonal/>
    </border>
    <border>
      <left style="medium">
        <color rgb="FFB7BDC8"/>
      </left>
      <right style="medium">
        <color indexed="64"/>
      </right>
      <top style="medium">
        <color rgb="FFB7BDC8"/>
      </top>
      <bottom style="medium">
        <color rgb="FFB7BDC8"/>
      </bottom>
      <diagonal/>
    </border>
    <border>
      <left style="medium">
        <color indexed="64"/>
      </left>
      <right style="medium">
        <color rgb="FFB7BDC8"/>
      </right>
      <top style="medium">
        <color rgb="FFB7BDC8"/>
      </top>
      <bottom style="medium">
        <color indexed="64"/>
      </bottom>
      <diagonal/>
    </border>
    <border>
      <left style="medium">
        <color rgb="FFB7BDC8"/>
      </left>
      <right style="medium">
        <color rgb="FFB7BDC8"/>
      </right>
      <top style="medium">
        <color rgb="FFB7BDC8"/>
      </top>
      <bottom style="medium">
        <color indexed="64"/>
      </bottom>
      <diagonal/>
    </border>
    <border>
      <left style="medium">
        <color rgb="FFB7BDC8"/>
      </left>
      <right style="medium">
        <color indexed="64"/>
      </right>
      <top style="medium">
        <color rgb="FFB7BDC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10" applyNumberFormat="0" applyFill="0" applyAlignment="0" applyProtection="0"/>
  </cellStyleXfs>
  <cellXfs count="6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3" fillId="2" borderId="0" xfId="0" applyFont="1" applyFill="1"/>
    <xf numFmtId="164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164" fontId="1" fillId="2" borderId="3" xfId="0" applyNumberFormat="1" applyFont="1" applyFill="1" applyBorder="1" applyAlignment="1">
      <alignment horizontal="right"/>
    </xf>
    <xf numFmtId="14" fontId="1" fillId="2" borderId="4" xfId="0" applyNumberFormat="1" applyFont="1" applyFill="1" applyBorder="1" applyAlignment="1">
      <alignment horizontal="right"/>
    </xf>
    <xf numFmtId="0" fontId="0" fillId="3" borderId="5" xfId="0" applyFill="1" applyBorder="1"/>
    <xf numFmtId="14" fontId="0" fillId="0" borderId="6" xfId="0" applyNumberFormat="1" applyBorder="1"/>
    <xf numFmtId="0" fontId="0" fillId="3" borderId="7" xfId="0" applyFill="1" applyBorder="1"/>
    <xf numFmtId="0" fontId="0" fillId="0" borderId="8" xfId="0" applyBorder="1"/>
    <xf numFmtId="164" fontId="0" fillId="0" borderId="8" xfId="0" applyNumberFormat="1" applyBorder="1"/>
    <xf numFmtId="14" fontId="0" fillId="0" borderId="9" xfId="0" applyNumberFormat="1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10" fontId="0" fillId="0" borderId="0" xfId="0" applyNumberFormat="1"/>
    <xf numFmtId="0" fontId="6" fillId="3" borderId="12" xfId="1" applyFill="1" applyBorder="1" applyAlignment="1">
      <alignment horizontal="center" vertical="center" wrapText="1"/>
    </xf>
    <xf numFmtId="0" fontId="6" fillId="3" borderId="13" xfId="1" applyFill="1" applyBorder="1" applyAlignment="1">
      <alignment horizontal="center" vertical="center" wrapText="1"/>
    </xf>
    <xf numFmtId="10" fontId="6" fillId="3" borderId="14" xfId="1" applyNumberForma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left" vertical="center" wrapText="1" indent="1"/>
    </xf>
    <xf numFmtId="10" fontId="5" fillId="3" borderId="16" xfId="0" applyNumberFormat="1" applyFont="1" applyFill="1" applyBorder="1" applyAlignment="1">
      <alignment horizontal="left" vertical="center" wrapText="1" indent="1"/>
    </xf>
    <xf numFmtId="0" fontId="5" fillId="3" borderId="17" xfId="0" applyFont="1" applyFill="1" applyBorder="1" applyAlignment="1">
      <alignment horizontal="left" vertical="center" wrapText="1" indent="1"/>
    </xf>
    <xf numFmtId="0" fontId="5" fillId="3" borderId="18" xfId="0" applyFont="1" applyFill="1" applyBorder="1" applyAlignment="1">
      <alignment horizontal="left" vertical="center" wrapText="1" indent="1"/>
    </xf>
    <xf numFmtId="10" fontId="5" fillId="3" borderId="19" xfId="0" applyNumberFormat="1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11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left" vertical="center" wrapText="1" indent="1"/>
    </xf>
    <xf numFmtId="0" fontId="1" fillId="0" borderId="0" xfId="0" applyFont="1"/>
    <xf numFmtId="0" fontId="0" fillId="0" borderId="20" xfId="0" applyBorder="1"/>
    <xf numFmtId="0" fontId="7" fillId="0" borderId="11" xfId="0" applyFont="1" applyBorder="1" applyAlignment="1">
      <alignment horizontal="center"/>
    </xf>
    <xf numFmtId="0" fontId="13" fillId="5" borderId="1" xfId="0" applyFont="1" applyFill="1" applyBorder="1" applyAlignment="1">
      <alignment horizontal="right" vertical="center" wrapText="1" indent="1"/>
    </xf>
    <xf numFmtId="0" fontId="1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 wrapText="1" indent="1"/>
    </xf>
    <xf numFmtId="0" fontId="8" fillId="5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righ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14" fillId="5" borderId="1" xfId="0" applyFont="1" applyFill="1" applyBorder="1" applyAlignment="1">
      <alignment horizontal="right" vertical="center" wrapText="1" indent="1"/>
    </xf>
    <xf numFmtId="9" fontId="8" fillId="5" borderId="1" xfId="0" applyNumberFormat="1" applyFont="1" applyFill="1" applyBorder="1" applyAlignment="1">
      <alignment horizontal="right" vertical="center" wrapText="1" indent="1"/>
    </xf>
    <xf numFmtId="0" fontId="15" fillId="3" borderId="0" xfId="0" applyFont="1" applyFill="1" applyBorder="1" applyAlignment="1">
      <alignment horizontal="right" vertical="center" wrapText="1" indent="1"/>
    </xf>
    <xf numFmtId="9" fontId="4" fillId="3" borderId="0" xfId="0" applyNumberFormat="1" applyFont="1" applyFill="1" applyBorder="1" applyAlignment="1">
      <alignment horizontal="right" vertical="center" wrapText="1" inden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right" vertical="center" wrapText="1" indent="1"/>
    </xf>
    <xf numFmtId="0" fontId="4" fillId="3" borderId="20" xfId="0" applyFont="1" applyFill="1" applyBorder="1" applyAlignment="1">
      <alignment horizontal="left" vertical="center" wrapText="1" indent="1"/>
    </xf>
    <xf numFmtId="9" fontId="4" fillId="3" borderId="20" xfId="0" applyNumberFormat="1" applyFont="1" applyFill="1" applyBorder="1" applyAlignment="1">
      <alignment horizontal="right" vertical="center" wrapText="1" indent="1"/>
    </xf>
    <xf numFmtId="0" fontId="13" fillId="5" borderId="20" xfId="0" applyFont="1" applyFill="1" applyBorder="1" applyAlignment="1">
      <alignment horizontal="right" vertical="center" wrapText="1" indent="1"/>
    </xf>
    <xf numFmtId="0" fontId="13" fillId="5" borderId="0" xfId="0" applyFont="1" applyFill="1" applyBorder="1" applyAlignment="1">
      <alignment horizontal="right" vertical="center" wrapText="1" inden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right" vertical="center" wrapText="1" indent="1"/>
    </xf>
    <xf numFmtId="0" fontId="4" fillId="3" borderId="20" xfId="0" applyFont="1" applyFill="1" applyBorder="1" applyAlignment="1">
      <alignment horizontal="right" vertical="center" wrapText="1" indent="1"/>
    </xf>
    <xf numFmtId="164" fontId="15" fillId="2" borderId="20" xfId="0" applyNumberFormat="1" applyFont="1" applyFill="1" applyBorder="1" applyAlignment="1">
      <alignment horizontal="right" vertical="center" wrapText="1" indent="1"/>
    </xf>
    <xf numFmtId="164" fontId="4" fillId="3" borderId="20" xfId="0" applyNumberFormat="1" applyFont="1" applyFill="1" applyBorder="1" applyAlignment="1">
      <alignment horizontal="right" vertical="center" wrapText="1" indent="1"/>
    </xf>
    <xf numFmtId="0" fontId="15" fillId="7" borderId="21" xfId="0" applyFont="1" applyFill="1" applyBorder="1" applyAlignment="1">
      <alignment horizontal="center" vertical="center" wrapText="1"/>
    </xf>
  </cellXfs>
  <cellStyles count="2">
    <cellStyle name="Heading 2" xfId="1" builtinId="17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5ACD-D30A-4D89-8485-118D0A02CD13}">
  <dimension ref="A1:E21"/>
  <sheetViews>
    <sheetView zoomScale="130" zoomScaleNormal="130" workbookViewId="0">
      <selection activeCell="J10" sqref="J10"/>
    </sheetView>
  </sheetViews>
  <sheetFormatPr defaultRowHeight="15" x14ac:dyDescent="0.25"/>
  <cols>
    <col min="1" max="1" width="12.140625" style="3" bestFit="1" customWidth="1"/>
    <col min="2" max="2" width="12.28515625" bestFit="1" customWidth="1"/>
    <col min="3" max="3" width="11.7109375" bestFit="1" customWidth="1"/>
    <col min="4" max="4" width="11.28515625" style="4" bestFit="1" customWidth="1"/>
    <col min="5" max="5" width="11.85546875" style="1" bestFit="1" customWidth="1"/>
  </cols>
  <sheetData>
    <row r="1" spans="1:5" s="2" customFormat="1" x14ac:dyDescent="0.25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spans="1:5" x14ac:dyDescent="0.25">
      <c r="A2" s="9" t="s">
        <v>5</v>
      </c>
      <c r="B2" t="s">
        <v>6</v>
      </c>
      <c r="C2" t="s">
        <v>7</v>
      </c>
      <c r="D2" s="4">
        <v>32000</v>
      </c>
      <c r="E2" s="10" t="s">
        <v>34</v>
      </c>
    </row>
    <row r="3" spans="1:5" x14ac:dyDescent="0.25">
      <c r="A3" s="9" t="s">
        <v>8</v>
      </c>
      <c r="B3" t="s">
        <v>9</v>
      </c>
      <c r="C3" t="s">
        <v>10</v>
      </c>
      <c r="D3" s="4">
        <v>45000</v>
      </c>
      <c r="E3" s="10" t="s">
        <v>35</v>
      </c>
    </row>
    <row r="4" spans="1:5" x14ac:dyDescent="0.25">
      <c r="A4" s="9" t="s">
        <v>11</v>
      </c>
      <c r="B4" t="s">
        <v>12</v>
      </c>
      <c r="C4" t="s">
        <v>13</v>
      </c>
      <c r="D4" s="4">
        <v>38000</v>
      </c>
      <c r="E4" s="10" t="s">
        <v>36</v>
      </c>
    </row>
    <row r="5" spans="1:5" x14ac:dyDescent="0.25">
      <c r="A5" s="9" t="s">
        <v>14</v>
      </c>
      <c r="B5" t="s">
        <v>15</v>
      </c>
      <c r="C5" t="s">
        <v>10</v>
      </c>
      <c r="D5" s="4">
        <v>52000</v>
      </c>
      <c r="E5" s="10" t="s">
        <v>37</v>
      </c>
    </row>
    <row r="6" spans="1:5" x14ac:dyDescent="0.25">
      <c r="A6" s="9" t="s">
        <v>16</v>
      </c>
      <c r="B6" t="s">
        <v>17</v>
      </c>
      <c r="C6" t="s">
        <v>18</v>
      </c>
      <c r="D6" s="4">
        <v>30000</v>
      </c>
      <c r="E6" s="10" t="s">
        <v>38</v>
      </c>
    </row>
    <row r="7" spans="1:5" x14ac:dyDescent="0.25">
      <c r="A7" s="9" t="s">
        <v>19</v>
      </c>
      <c r="B7" t="s">
        <v>6</v>
      </c>
      <c r="C7" t="s">
        <v>7</v>
      </c>
      <c r="D7" s="4">
        <f ca="1">RANDBETWEEN(25000,65000)</f>
        <v>50416</v>
      </c>
      <c r="E7" s="10" t="s">
        <v>39</v>
      </c>
    </row>
    <row r="8" spans="1:5" x14ac:dyDescent="0.25">
      <c r="A8" s="9" t="s">
        <v>20</v>
      </c>
      <c r="B8" t="s">
        <v>9</v>
      </c>
      <c r="C8" t="s">
        <v>10</v>
      </c>
      <c r="D8" s="4">
        <f t="shared" ref="D8:D21" ca="1" si="0">RANDBETWEEN(25000,65000)</f>
        <v>44581</v>
      </c>
      <c r="E8" s="10" t="s">
        <v>40</v>
      </c>
    </row>
    <row r="9" spans="1:5" x14ac:dyDescent="0.25">
      <c r="A9" s="9" t="s">
        <v>21</v>
      </c>
      <c r="B9" t="s">
        <v>12</v>
      </c>
      <c r="C9" t="s">
        <v>13</v>
      </c>
      <c r="D9" s="4">
        <f t="shared" ca="1" si="0"/>
        <v>37698</v>
      </c>
      <c r="E9" s="10" t="s">
        <v>41</v>
      </c>
    </row>
    <row r="10" spans="1:5" x14ac:dyDescent="0.25">
      <c r="A10" s="9" t="s">
        <v>22</v>
      </c>
      <c r="B10" t="s">
        <v>15</v>
      </c>
      <c r="C10" t="s">
        <v>10</v>
      </c>
      <c r="D10" s="4">
        <f t="shared" ca="1" si="0"/>
        <v>44735</v>
      </c>
      <c r="E10" s="10" t="s">
        <v>42</v>
      </c>
    </row>
    <row r="11" spans="1:5" x14ac:dyDescent="0.25">
      <c r="A11" s="9" t="s">
        <v>23</v>
      </c>
      <c r="B11" t="s">
        <v>17</v>
      </c>
      <c r="C11" t="s">
        <v>18</v>
      </c>
      <c r="D11" s="4">
        <f t="shared" ca="1" si="0"/>
        <v>57862</v>
      </c>
      <c r="E11" s="10" t="s">
        <v>43</v>
      </c>
    </row>
    <row r="12" spans="1:5" x14ac:dyDescent="0.25">
      <c r="A12" s="9" t="s">
        <v>24</v>
      </c>
      <c r="B12" t="s">
        <v>6</v>
      </c>
      <c r="C12" t="s">
        <v>7</v>
      </c>
      <c r="D12" s="4">
        <f t="shared" ca="1" si="0"/>
        <v>29338</v>
      </c>
      <c r="E12" s="10" t="s">
        <v>44</v>
      </c>
    </row>
    <row r="13" spans="1:5" x14ac:dyDescent="0.25">
      <c r="A13" s="9" t="s">
        <v>25</v>
      </c>
      <c r="B13" t="s">
        <v>9</v>
      </c>
      <c r="C13" t="s">
        <v>10</v>
      </c>
      <c r="D13" s="4">
        <f t="shared" ca="1" si="0"/>
        <v>44924</v>
      </c>
      <c r="E13" s="10" t="s">
        <v>45</v>
      </c>
    </row>
    <row r="14" spans="1:5" x14ac:dyDescent="0.25">
      <c r="A14" s="9" t="s">
        <v>26</v>
      </c>
      <c r="B14" t="s">
        <v>12</v>
      </c>
      <c r="C14" t="s">
        <v>13</v>
      </c>
      <c r="D14" s="4">
        <f t="shared" ca="1" si="0"/>
        <v>51682</v>
      </c>
      <c r="E14" s="10" t="s">
        <v>46</v>
      </c>
    </row>
    <row r="15" spans="1:5" x14ac:dyDescent="0.25">
      <c r="A15" s="9" t="s">
        <v>27</v>
      </c>
      <c r="B15" t="s">
        <v>15</v>
      </c>
      <c r="C15" t="s">
        <v>10</v>
      </c>
      <c r="D15" s="4">
        <f t="shared" ca="1" si="0"/>
        <v>49401</v>
      </c>
      <c r="E15" s="10" t="s">
        <v>47</v>
      </c>
    </row>
    <row r="16" spans="1:5" x14ac:dyDescent="0.25">
      <c r="A16" s="9" t="s">
        <v>28</v>
      </c>
      <c r="B16" t="s">
        <v>17</v>
      </c>
      <c r="C16" t="s">
        <v>18</v>
      </c>
      <c r="D16" s="4">
        <f t="shared" ca="1" si="0"/>
        <v>54820</v>
      </c>
      <c r="E16" s="10" t="s">
        <v>48</v>
      </c>
    </row>
    <row r="17" spans="1:5" x14ac:dyDescent="0.25">
      <c r="A17" s="9" t="s">
        <v>29</v>
      </c>
      <c r="B17" t="s">
        <v>6</v>
      </c>
      <c r="C17" t="s">
        <v>7</v>
      </c>
      <c r="D17" s="4">
        <f t="shared" ca="1" si="0"/>
        <v>42407</v>
      </c>
      <c r="E17" s="10" t="s">
        <v>49</v>
      </c>
    </row>
    <row r="18" spans="1:5" x14ac:dyDescent="0.25">
      <c r="A18" s="9" t="s">
        <v>30</v>
      </c>
      <c r="B18" t="s">
        <v>9</v>
      </c>
      <c r="C18" t="s">
        <v>10</v>
      </c>
      <c r="D18" s="4">
        <f t="shared" ca="1" si="0"/>
        <v>44900</v>
      </c>
      <c r="E18" s="10" t="s">
        <v>50</v>
      </c>
    </row>
    <row r="19" spans="1:5" x14ac:dyDescent="0.25">
      <c r="A19" s="9" t="s">
        <v>31</v>
      </c>
      <c r="B19" t="s">
        <v>12</v>
      </c>
      <c r="C19" t="s">
        <v>13</v>
      </c>
      <c r="D19" s="4">
        <f t="shared" ca="1" si="0"/>
        <v>28572</v>
      </c>
      <c r="E19" s="10" t="s">
        <v>51</v>
      </c>
    </row>
    <row r="20" spans="1:5" x14ac:dyDescent="0.25">
      <c r="A20" s="9" t="s">
        <v>32</v>
      </c>
      <c r="B20" t="s">
        <v>15</v>
      </c>
      <c r="C20" t="s">
        <v>10</v>
      </c>
      <c r="D20" s="4">
        <f t="shared" ca="1" si="0"/>
        <v>34872</v>
      </c>
      <c r="E20" s="10" t="s">
        <v>52</v>
      </c>
    </row>
    <row r="21" spans="1:5" ht="15.75" thickBot="1" x14ac:dyDescent="0.3">
      <c r="A21" s="11" t="s">
        <v>33</v>
      </c>
      <c r="B21" s="12" t="s">
        <v>17</v>
      </c>
      <c r="C21" s="12" t="s">
        <v>18</v>
      </c>
      <c r="D21" s="13">
        <f t="shared" ca="1" si="0"/>
        <v>51526</v>
      </c>
      <c r="E21" s="14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DAA3-E8AD-43FE-A5DA-A15BBF3126BB}">
  <dimension ref="A1:D22"/>
  <sheetViews>
    <sheetView zoomScale="90" zoomScaleNormal="90" workbookViewId="0">
      <selection activeCell="F10" sqref="F10"/>
    </sheetView>
  </sheetViews>
  <sheetFormatPr defaultRowHeight="15" x14ac:dyDescent="0.25"/>
  <cols>
    <col min="1" max="1" width="28.5703125" customWidth="1"/>
    <col min="2" max="2" width="10.85546875" customWidth="1"/>
    <col min="3" max="3" width="16.5703125" style="20" customWidth="1"/>
    <col min="4" max="4" width="15.7109375" customWidth="1"/>
  </cols>
  <sheetData>
    <row r="1" spans="1:4" ht="24" thickBot="1" x14ac:dyDescent="0.4">
      <c r="A1" s="41" t="s">
        <v>74</v>
      </c>
      <c r="B1" s="41"/>
      <c r="C1" s="41"/>
      <c r="D1" s="41"/>
    </row>
    <row r="2" spans="1:4" ht="35.25" thickBot="1" x14ac:dyDescent="0.3">
      <c r="A2" s="17" t="s">
        <v>54</v>
      </c>
      <c r="B2" s="15" t="s">
        <v>55</v>
      </c>
      <c r="C2" s="19" t="s">
        <v>56</v>
      </c>
      <c r="D2" s="15" t="s">
        <v>57</v>
      </c>
    </row>
    <row r="3" spans="1:4" ht="18" thickBot="1" x14ac:dyDescent="0.3">
      <c r="A3" s="18" t="s">
        <v>58</v>
      </c>
      <c r="B3" s="16" t="s">
        <v>59</v>
      </c>
      <c r="C3" s="20">
        <v>45000</v>
      </c>
      <c r="D3" s="16" t="s">
        <v>60</v>
      </c>
    </row>
    <row r="4" spans="1:4" ht="18" thickBot="1" x14ac:dyDescent="0.3">
      <c r="A4" s="18" t="s">
        <v>61</v>
      </c>
      <c r="B4" s="16" t="s">
        <v>62</v>
      </c>
      <c r="C4" s="20">
        <v>1200</v>
      </c>
      <c r="D4" s="16" t="s">
        <v>63</v>
      </c>
    </row>
    <row r="5" spans="1:4" ht="18" thickBot="1" x14ac:dyDescent="0.3">
      <c r="A5" s="18" t="s">
        <v>64</v>
      </c>
      <c r="B5" s="16" t="s">
        <v>65</v>
      </c>
      <c r="C5" s="20">
        <v>18000</v>
      </c>
      <c r="D5" s="16" t="s">
        <v>66</v>
      </c>
    </row>
    <row r="6" spans="1:4" ht="18" thickBot="1" x14ac:dyDescent="0.3">
      <c r="A6" s="18" t="s">
        <v>67</v>
      </c>
      <c r="B6" s="16" t="s">
        <v>68</v>
      </c>
      <c r="C6" s="20">
        <v>62000</v>
      </c>
      <c r="D6" s="16" t="s">
        <v>69</v>
      </c>
    </row>
    <row r="7" spans="1:4" ht="18" thickBot="1" x14ac:dyDescent="0.3">
      <c r="A7" s="18" t="s">
        <v>70</v>
      </c>
      <c r="B7" s="16" t="s">
        <v>59</v>
      </c>
      <c r="C7" s="20">
        <v>9113</v>
      </c>
      <c r="D7" s="16" t="s">
        <v>60</v>
      </c>
    </row>
    <row r="8" spans="1:4" ht="18" thickBot="1" x14ac:dyDescent="0.3">
      <c r="A8" s="18" t="s">
        <v>61</v>
      </c>
      <c r="B8" s="16" t="s">
        <v>62</v>
      </c>
      <c r="C8" s="20">
        <v>2071</v>
      </c>
      <c r="D8" s="16" t="s">
        <v>63</v>
      </c>
    </row>
    <row r="9" spans="1:4" ht="18" thickBot="1" x14ac:dyDescent="0.3">
      <c r="A9" s="18" t="s">
        <v>64</v>
      </c>
      <c r="B9" s="16" t="s">
        <v>65</v>
      </c>
      <c r="C9" s="20">
        <v>2683</v>
      </c>
      <c r="D9" s="16" t="s">
        <v>66</v>
      </c>
    </row>
    <row r="10" spans="1:4" ht="18" thickBot="1" x14ac:dyDescent="0.3">
      <c r="A10" s="18" t="s">
        <v>67</v>
      </c>
      <c r="B10" s="16" t="s">
        <v>68</v>
      </c>
      <c r="C10" s="20">
        <v>2221</v>
      </c>
      <c r="D10" s="16" t="s">
        <v>69</v>
      </c>
    </row>
    <row r="11" spans="1:4" ht="18" thickBot="1" x14ac:dyDescent="0.3">
      <c r="A11" s="18" t="s">
        <v>71</v>
      </c>
      <c r="B11" s="16" t="s">
        <v>59</v>
      </c>
      <c r="C11" s="20">
        <v>7764</v>
      </c>
      <c r="D11" s="16" t="s">
        <v>60</v>
      </c>
    </row>
    <row r="12" spans="1:4" ht="18" thickBot="1" x14ac:dyDescent="0.3">
      <c r="A12" s="18" t="s">
        <v>61</v>
      </c>
      <c r="B12" s="16" t="s">
        <v>62</v>
      </c>
      <c r="C12" s="20">
        <v>3657</v>
      </c>
      <c r="D12" s="16" t="s">
        <v>63</v>
      </c>
    </row>
    <row r="13" spans="1:4" ht="18" thickBot="1" x14ac:dyDescent="0.3">
      <c r="A13" s="18" t="s">
        <v>64</v>
      </c>
      <c r="B13" s="16" t="s">
        <v>65</v>
      </c>
      <c r="C13" s="20">
        <v>9261</v>
      </c>
      <c r="D13" s="16" t="s">
        <v>66</v>
      </c>
    </row>
    <row r="14" spans="1:4" ht="18" thickBot="1" x14ac:dyDescent="0.3">
      <c r="A14" s="18" t="s">
        <v>67</v>
      </c>
      <c r="B14" s="16" t="s">
        <v>68</v>
      </c>
      <c r="C14" s="20">
        <v>2721</v>
      </c>
      <c r="D14" s="16" t="s">
        <v>69</v>
      </c>
    </row>
    <row r="15" spans="1:4" ht="18" thickBot="1" x14ac:dyDescent="0.3">
      <c r="A15" s="18" t="s">
        <v>72</v>
      </c>
      <c r="B15" s="16" t="s">
        <v>59</v>
      </c>
      <c r="C15" s="20">
        <v>5018</v>
      </c>
      <c r="D15" s="16" t="s">
        <v>60</v>
      </c>
    </row>
    <row r="16" spans="1:4" ht="18" thickBot="1" x14ac:dyDescent="0.3">
      <c r="A16" s="18" t="s">
        <v>61</v>
      </c>
      <c r="B16" s="16" t="s">
        <v>62</v>
      </c>
      <c r="C16" s="20">
        <v>7683</v>
      </c>
      <c r="D16" s="16" t="s">
        <v>63</v>
      </c>
    </row>
    <row r="17" spans="1:4" ht="18" thickBot="1" x14ac:dyDescent="0.3">
      <c r="A17" s="18" t="s">
        <v>64</v>
      </c>
      <c r="B17" s="16" t="s">
        <v>65</v>
      </c>
      <c r="C17" s="20">
        <v>6315</v>
      </c>
      <c r="D17" s="16" t="s">
        <v>66</v>
      </c>
    </row>
    <row r="18" spans="1:4" ht="18" thickBot="1" x14ac:dyDescent="0.3">
      <c r="A18" s="18" t="s">
        <v>67</v>
      </c>
      <c r="B18" s="16" t="s">
        <v>68</v>
      </c>
      <c r="C18" s="20">
        <v>6807</v>
      </c>
      <c r="D18" s="16" t="s">
        <v>69</v>
      </c>
    </row>
    <row r="19" spans="1:4" ht="18" thickBot="1" x14ac:dyDescent="0.3">
      <c r="A19" s="18" t="s">
        <v>73</v>
      </c>
      <c r="B19" s="16" t="s">
        <v>59</v>
      </c>
      <c r="C19" s="20">
        <v>9479</v>
      </c>
      <c r="D19" s="16" t="s">
        <v>60</v>
      </c>
    </row>
    <row r="20" spans="1:4" ht="18" thickBot="1" x14ac:dyDescent="0.3">
      <c r="A20" s="18" t="s">
        <v>61</v>
      </c>
      <c r="B20" s="16" t="s">
        <v>62</v>
      </c>
      <c r="C20" s="20">
        <v>2470</v>
      </c>
      <c r="D20" s="16" t="s">
        <v>63</v>
      </c>
    </row>
    <row r="21" spans="1:4" ht="18" thickBot="1" x14ac:dyDescent="0.3">
      <c r="A21" s="18" t="s">
        <v>64</v>
      </c>
      <c r="B21" s="16" t="s">
        <v>65</v>
      </c>
      <c r="C21" s="20">
        <v>9194</v>
      </c>
      <c r="D21" s="16" t="s">
        <v>66</v>
      </c>
    </row>
    <row r="22" spans="1:4" ht="18" thickBot="1" x14ac:dyDescent="0.3">
      <c r="A22" s="18" t="s">
        <v>67</v>
      </c>
      <c r="B22" s="16" t="s">
        <v>68</v>
      </c>
      <c r="C22" s="20">
        <v>6629</v>
      </c>
      <c r="D22" s="16" t="s">
        <v>69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B33E-7A5E-4B17-BBD4-DD31EC5F7DCB}">
  <dimension ref="A1:U21"/>
  <sheetViews>
    <sheetView topLeftCell="B1" zoomScale="80" zoomScaleNormal="80" workbookViewId="0">
      <selection activeCell="U12" sqref="U12"/>
    </sheetView>
  </sheetViews>
  <sheetFormatPr defaultRowHeight="15" x14ac:dyDescent="0.25"/>
  <cols>
    <col min="2" max="2" width="15.7109375" customWidth="1"/>
    <col min="4" max="4" width="10.5703125" customWidth="1"/>
    <col min="6" max="6" width="22.7109375" style="21" customWidth="1"/>
    <col min="9" max="9" width="8.7109375" customWidth="1"/>
    <col min="10" max="10" width="12.85546875" customWidth="1"/>
    <col min="11" max="11" width="14.85546875" customWidth="1"/>
    <col min="12" max="12" width="12" customWidth="1"/>
    <col min="15" max="15" width="11" customWidth="1"/>
    <col min="16" max="16" width="9.5703125" customWidth="1"/>
    <col min="17" max="17" width="11.28515625" customWidth="1"/>
    <col min="19" max="19" width="10.42578125" customWidth="1"/>
  </cols>
  <sheetData>
    <row r="1" spans="1:21" ht="35.25" thickBot="1" x14ac:dyDescent="0.3">
      <c r="A1" s="22" t="s">
        <v>75</v>
      </c>
      <c r="B1" s="23" t="s">
        <v>76</v>
      </c>
      <c r="C1" s="23" t="s">
        <v>77</v>
      </c>
      <c r="D1" s="23" t="s">
        <v>78</v>
      </c>
      <c r="E1" s="23" t="s">
        <v>79</v>
      </c>
      <c r="F1" s="24" t="s">
        <v>80</v>
      </c>
      <c r="J1" s="30" t="s">
        <v>86</v>
      </c>
      <c r="K1" s="30" t="s">
        <v>2</v>
      </c>
      <c r="L1" s="30" t="s">
        <v>3</v>
      </c>
    </row>
    <row r="2" spans="1:21" ht="18.75" thickTop="1" thickBot="1" x14ac:dyDescent="0.3">
      <c r="A2" s="25">
        <v>1</v>
      </c>
      <c r="B2" s="16" t="s">
        <v>81</v>
      </c>
      <c r="C2">
        <v>78</v>
      </c>
      <c r="D2">
        <v>82</v>
      </c>
      <c r="E2">
        <v>74</v>
      </c>
      <c r="F2" s="26">
        <f>((C2+D2+E2)/300)*100</f>
        <v>78</v>
      </c>
      <c r="J2" s="31" t="s">
        <v>87</v>
      </c>
      <c r="K2" s="31" t="s">
        <v>93</v>
      </c>
      <c r="L2">
        <v>28000</v>
      </c>
    </row>
    <row r="3" spans="1:21" ht="18" thickBot="1" x14ac:dyDescent="0.3">
      <c r="A3" s="25">
        <v>2</v>
      </c>
      <c r="B3" s="16" t="s">
        <v>82</v>
      </c>
      <c r="C3">
        <v>65</v>
      </c>
      <c r="D3">
        <v>70</v>
      </c>
      <c r="E3">
        <v>68</v>
      </c>
      <c r="F3" s="26">
        <f t="shared" ref="F3:F21" si="0">((C3+D3+E3)/300)*100</f>
        <v>67.666666666666657</v>
      </c>
      <c r="J3" s="31" t="s">
        <v>88</v>
      </c>
      <c r="K3" s="31" t="s">
        <v>10</v>
      </c>
      <c r="L3">
        <v>45000</v>
      </c>
    </row>
    <row r="4" spans="1:21" ht="18" thickBot="1" x14ac:dyDescent="0.3">
      <c r="A4" s="25">
        <v>3</v>
      </c>
      <c r="B4" s="16" t="s">
        <v>83</v>
      </c>
      <c r="C4">
        <v>90</v>
      </c>
      <c r="D4">
        <v>88</v>
      </c>
      <c r="E4">
        <v>92</v>
      </c>
      <c r="F4" s="26">
        <f t="shared" si="0"/>
        <v>90</v>
      </c>
      <c r="J4" s="31" t="s">
        <v>89</v>
      </c>
      <c r="K4" s="31" t="s">
        <v>10</v>
      </c>
      <c r="L4">
        <v>50000</v>
      </c>
      <c r="O4" s="31" t="s">
        <v>87</v>
      </c>
      <c r="P4" s="31" t="s">
        <v>93</v>
      </c>
      <c r="Q4">
        <v>28000</v>
      </c>
    </row>
    <row r="5" spans="1:21" ht="18" thickBot="1" x14ac:dyDescent="0.3">
      <c r="A5" s="25">
        <v>4</v>
      </c>
      <c r="B5" s="16" t="s">
        <v>84</v>
      </c>
      <c r="C5">
        <v>35</v>
      </c>
      <c r="D5">
        <v>40</v>
      </c>
      <c r="E5">
        <v>38</v>
      </c>
      <c r="F5" s="26">
        <f t="shared" si="0"/>
        <v>37.666666666666664</v>
      </c>
      <c r="J5" s="31" t="s">
        <v>90</v>
      </c>
      <c r="K5" s="31" t="s">
        <v>13</v>
      </c>
      <c r="L5">
        <v>42000</v>
      </c>
      <c r="O5" s="31" t="s">
        <v>91</v>
      </c>
      <c r="P5" s="31" t="s">
        <v>7</v>
      </c>
      <c r="Q5">
        <v>30000</v>
      </c>
      <c r="S5" s="31" t="s">
        <v>88</v>
      </c>
      <c r="T5" s="31" t="s">
        <v>10</v>
      </c>
      <c r="U5">
        <v>45000</v>
      </c>
    </row>
    <row r="6" spans="1:21" ht="18" thickBot="1" x14ac:dyDescent="0.3">
      <c r="A6" s="25">
        <v>5</v>
      </c>
      <c r="B6" s="16" t="s">
        <v>85</v>
      </c>
      <c r="C6">
        <v>55</v>
      </c>
      <c r="D6">
        <v>60</v>
      </c>
      <c r="E6">
        <v>58</v>
      </c>
      <c r="F6" s="26">
        <f t="shared" si="0"/>
        <v>57.666666666666664</v>
      </c>
      <c r="J6" s="31" t="s">
        <v>91</v>
      </c>
      <c r="K6" s="31" t="s">
        <v>7</v>
      </c>
      <c r="L6">
        <v>30000</v>
      </c>
      <c r="O6" s="31" t="s">
        <v>87</v>
      </c>
      <c r="P6" s="31" t="s">
        <v>7</v>
      </c>
      <c r="Q6">
        <v>54524</v>
      </c>
      <c r="S6" s="31" t="s">
        <v>89</v>
      </c>
      <c r="T6" s="31" t="s">
        <v>10</v>
      </c>
      <c r="U6">
        <v>50000</v>
      </c>
    </row>
    <row r="7" spans="1:21" ht="18" thickBot="1" x14ac:dyDescent="0.3">
      <c r="A7" s="25">
        <v>6</v>
      </c>
      <c r="B7" s="16" t="s">
        <v>81</v>
      </c>
      <c r="C7">
        <v>36</v>
      </c>
      <c r="D7">
        <v>36</v>
      </c>
      <c r="E7">
        <v>27</v>
      </c>
      <c r="F7" s="26">
        <f t="shared" si="0"/>
        <v>33</v>
      </c>
      <c r="J7" s="31" t="s">
        <v>92</v>
      </c>
      <c r="K7" s="31" t="s">
        <v>13</v>
      </c>
      <c r="L7">
        <v>38000</v>
      </c>
      <c r="O7" s="31" t="s">
        <v>91</v>
      </c>
      <c r="P7" s="31" t="s">
        <v>7</v>
      </c>
      <c r="Q7">
        <v>47614</v>
      </c>
      <c r="S7" s="31" t="s">
        <v>88</v>
      </c>
      <c r="T7" s="31" t="s">
        <v>10</v>
      </c>
      <c r="U7">
        <v>59613</v>
      </c>
    </row>
    <row r="8" spans="1:21" ht="18" thickBot="1" x14ac:dyDescent="0.3">
      <c r="A8" s="25">
        <v>7</v>
      </c>
      <c r="B8" s="16" t="s">
        <v>82</v>
      </c>
      <c r="C8">
        <v>51</v>
      </c>
      <c r="D8">
        <v>43</v>
      </c>
      <c r="E8">
        <v>47</v>
      </c>
      <c r="F8" s="26">
        <f t="shared" si="0"/>
        <v>47</v>
      </c>
      <c r="J8" s="31" t="s">
        <v>87</v>
      </c>
      <c r="K8" s="31" t="s">
        <v>7</v>
      </c>
      <c r="L8">
        <v>54524</v>
      </c>
      <c r="O8" s="31" t="s">
        <v>87</v>
      </c>
      <c r="P8" s="31" t="s">
        <v>7</v>
      </c>
      <c r="Q8">
        <v>56063</v>
      </c>
      <c r="S8" s="31" t="s">
        <v>89</v>
      </c>
      <c r="T8" s="31" t="s">
        <v>10</v>
      </c>
      <c r="U8">
        <v>49390</v>
      </c>
    </row>
    <row r="9" spans="1:21" ht="18" thickBot="1" x14ac:dyDescent="0.3">
      <c r="A9" s="25">
        <v>8</v>
      </c>
      <c r="B9" s="16" t="s">
        <v>83</v>
      </c>
      <c r="C9">
        <v>92</v>
      </c>
      <c r="D9">
        <v>70</v>
      </c>
      <c r="E9">
        <v>96</v>
      </c>
      <c r="F9" s="26">
        <f t="shared" si="0"/>
        <v>86</v>
      </c>
      <c r="J9" s="31" t="s">
        <v>88</v>
      </c>
      <c r="K9" s="31" t="s">
        <v>10</v>
      </c>
      <c r="L9">
        <v>59613</v>
      </c>
      <c r="O9" s="31" t="s">
        <v>91</v>
      </c>
      <c r="P9" s="31" t="s">
        <v>7</v>
      </c>
      <c r="Q9">
        <v>47483</v>
      </c>
      <c r="S9" s="31" t="s">
        <v>88</v>
      </c>
      <c r="T9" s="31" t="s">
        <v>10</v>
      </c>
      <c r="U9">
        <v>31298</v>
      </c>
    </row>
    <row r="10" spans="1:21" ht="18" thickBot="1" x14ac:dyDescent="0.3">
      <c r="A10" s="25">
        <v>9</v>
      </c>
      <c r="B10" s="16" t="s">
        <v>84</v>
      </c>
      <c r="C10">
        <v>28</v>
      </c>
      <c r="D10">
        <v>94</v>
      </c>
      <c r="E10">
        <v>41</v>
      </c>
      <c r="F10" s="26">
        <f t="shared" si="0"/>
        <v>54.333333333333336</v>
      </c>
      <c r="J10" s="31" t="s">
        <v>89</v>
      </c>
      <c r="K10" s="31" t="s">
        <v>10</v>
      </c>
      <c r="L10">
        <v>49390</v>
      </c>
      <c r="O10" s="31" t="s">
        <v>87</v>
      </c>
      <c r="P10" s="31" t="s">
        <v>7</v>
      </c>
      <c r="Q10">
        <v>54377</v>
      </c>
      <c r="S10" s="31" t="s">
        <v>89</v>
      </c>
      <c r="T10" s="31" t="s">
        <v>10</v>
      </c>
      <c r="U10">
        <v>45248</v>
      </c>
    </row>
    <row r="11" spans="1:21" ht="18" thickBot="1" x14ac:dyDescent="0.3">
      <c r="A11" s="25">
        <v>10</v>
      </c>
      <c r="B11" s="16" t="s">
        <v>85</v>
      </c>
      <c r="C11">
        <v>76</v>
      </c>
      <c r="D11">
        <v>36</v>
      </c>
      <c r="E11">
        <v>49</v>
      </c>
      <c r="F11" s="26">
        <f t="shared" si="0"/>
        <v>53.666666666666664</v>
      </c>
      <c r="J11" s="31" t="s">
        <v>90</v>
      </c>
      <c r="K11" s="31" t="s">
        <v>13</v>
      </c>
      <c r="L11">
        <v>61548</v>
      </c>
      <c r="Q11">
        <f>SUM(Q4:Q10)</f>
        <v>318061</v>
      </c>
      <c r="S11" s="31" t="s">
        <v>88</v>
      </c>
      <c r="T11" s="31" t="s">
        <v>10</v>
      </c>
      <c r="U11">
        <v>56005</v>
      </c>
    </row>
    <row r="12" spans="1:21" ht="18" thickBot="1" x14ac:dyDescent="0.3">
      <c r="A12" s="25">
        <v>11</v>
      </c>
      <c r="B12" s="16" t="s">
        <v>81</v>
      </c>
      <c r="C12">
        <v>70</v>
      </c>
      <c r="D12">
        <v>79</v>
      </c>
      <c r="E12">
        <v>46</v>
      </c>
      <c r="F12" s="26">
        <f t="shared" si="0"/>
        <v>65</v>
      </c>
      <c r="J12" s="31" t="s">
        <v>91</v>
      </c>
      <c r="K12" s="31" t="s">
        <v>7</v>
      </c>
      <c r="L12">
        <v>47614</v>
      </c>
      <c r="U12" t="s">
        <v>95</v>
      </c>
    </row>
    <row r="13" spans="1:21" ht="18" thickBot="1" x14ac:dyDescent="0.3">
      <c r="A13" s="25">
        <v>12</v>
      </c>
      <c r="B13" s="16" t="s">
        <v>82</v>
      </c>
      <c r="C13">
        <v>79</v>
      </c>
      <c r="D13">
        <v>78</v>
      </c>
      <c r="E13">
        <v>33</v>
      </c>
      <c r="F13" s="26">
        <f t="shared" si="0"/>
        <v>63.333333333333329</v>
      </c>
      <c r="J13" s="31" t="s">
        <v>92</v>
      </c>
      <c r="K13" s="31" t="s">
        <v>13</v>
      </c>
      <c r="L13">
        <v>48476</v>
      </c>
      <c r="U13" t="s">
        <v>94</v>
      </c>
    </row>
    <row r="14" spans="1:21" ht="18" thickBot="1" x14ac:dyDescent="0.3">
      <c r="A14" s="25">
        <v>13</v>
      </c>
      <c r="B14" s="16" t="s">
        <v>83</v>
      </c>
      <c r="C14">
        <v>81</v>
      </c>
      <c r="D14">
        <v>30</v>
      </c>
      <c r="E14">
        <v>70</v>
      </c>
      <c r="F14" s="26">
        <f t="shared" si="0"/>
        <v>60.333333333333336</v>
      </c>
      <c r="J14" s="31" t="s">
        <v>87</v>
      </c>
      <c r="K14" s="31" t="s">
        <v>7</v>
      </c>
      <c r="L14">
        <v>56063</v>
      </c>
    </row>
    <row r="15" spans="1:21" ht="18" thickBot="1" x14ac:dyDescent="0.3">
      <c r="A15" s="25">
        <v>14</v>
      </c>
      <c r="B15" s="16" t="s">
        <v>84</v>
      </c>
      <c r="C15">
        <v>73</v>
      </c>
      <c r="D15">
        <v>79</v>
      </c>
      <c r="E15">
        <v>69</v>
      </c>
      <c r="F15" s="26">
        <f t="shared" si="0"/>
        <v>73.666666666666671</v>
      </c>
      <c r="J15" s="31" t="s">
        <v>88</v>
      </c>
      <c r="K15" s="31" t="s">
        <v>10</v>
      </c>
      <c r="L15">
        <v>31298</v>
      </c>
    </row>
    <row r="16" spans="1:21" ht="18" thickBot="1" x14ac:dyDescent="0.3">
      <c r="A16" s="25">
        <v>15</v>
      </c>
      <c r="B16" s="16" t="s">
        <v>85</v>
      </c>
      <c r="C16">
        <v>46</v>
      </c>
      <c r="D16">
        <v>40</v>
      </c>
      <c r="E16">
        <v>84</v>
      </c>
      <c r="F16" s="26">
        <f t="shared" si="0"/>
        <v>56.666666666666664</v>
      </c>
      <c r="J16" s="31" t="s">
        <v>89</v>
      </c>
      <c r="K16" s="31" t="s">
        <v>10</v>
      </c>
      <c r="L16">
        <v>45248</v>
      </c>
    </row>
    <row r="17" spans="1:12" ht="18" thickBot="1" x14ac:dyDescent="0.3">
      <c r="A17" s="25">
        <v>16</v>
      </c>
      <c r="B17" s="16" t="s">
        <v>81</v>
      </c>
      <c r="C17">
        <v>48</v>
      </c>
      <c r="D17">
        <v>64</v>
      </c>
      <c r="E17">
        <v>90</v>
      </c>
      <c r="F17" s="26">
        <f t="shared" si="0"/>
        <v>67.333333333333329</v>
      </c>
      <c r="J17" s="31" t="s">
        <v>90</v>
      </c>
      <c r="K17" s="31" t="s">
        <v>13</v>
      </c>
      <c r="L17">
        <v>47986</v>
      </c>
    </row>
    <row r="18" spans="1:12" ht="18" thickBot="1" x14ac:dyDescent="0.3">
      <c r="A18" s="25">
        <v>17</v>
      </c>
      <c r="B18" s="16" t="s">
        <v>82</v>
      </c>
      <c r="C18">
        <v>91</v>
      </c>
      <c r="D18">
        <v>85</v>
      </c>
      <c r="E18">
        <v>94</v>
      </c>
      <c r="F18" s="26">
        <f t="shared" si="0"/>
        <v>90</v>
      </c>
      <c r="J18" s="31" t="s">
        <v>91</v>
      </c>
      <c r="K18" s="31" t="s">
        <v>7</v>
      </c>
      <c r="L18">
        <v>47483</v>
      </c>
    </row>
    <row r="19" spans="1:12" ht="18" thickBot="1" x14ac:dyDescent="0.3">
      <c r="A19" s="25">
        <v>18</v>
      </c>
      <c r="B19" s="16" t="s">
        <v>83</v>
      </c>
      <c r="C19">
        <v>79</v>
      </c>
      <c r="D19">
        <v>77</v>
      </c>
      <c r="E19">
        <v>85</v>
      </c>
      <c r="F19" s="26">
        <f t="shared" si="0"/>
        <v>80.333333333333329</v>
      </c>
      <c r="J19" s="31" t="s">
        <v>92</v>
      </c>
      <c r="K19" s="31" t="s">
        <v>13</v>
      </c>
      <c r="L19">
        <v>59819</v>
      </c>
    </row>
    <row r="20" spans="1:12" ht="18" thickBot="1" x14ac:dyDescent="0.3">
      <c r="A20" s="25">
        <v>19</v>
      </c>
      <c r="B20" s="16" t="s">
        <v>84</v>
      </c>
      <c r="C20">
        <v>50</v>
      </c>
      <c r="D20">
        <v>64</v>
      </c>
      <c r="E20">
        <v>93</v>
      </c>
      <c r="F20" s="26">
        <f t="shared" si="0"/>
        <v>69</v>
      </c>
      <c r="J20" s="31" t="s">
        <v>87</v>
      </c>
      <c r="K20" s="31" t="s">
        <v>7</v>
      </c>
      <c r="L20">
        <v>54377</v>
      </c>
    </row>
    <row r="21" spans="1:12" ht="18" thickBot="1" x14ac:dyDescent="0.3">
      <c r="A21" s="27">
        <v>20</v>
      </c>
      <c r="B21" s="28" t="s">
        <v>85</v>
      </c>
      <c r="C21" s="12">
        <v>46</v>
      </c>
      <c r="D21" s="12">
        <v>47</v>
      </c>
      <c r="E21" s="12">
        <v>49</v>
      </c>
      <c r="F21" s="29">
        <f t="shared" si="0"/>
        <v>47.333333333333336</v>
      </c>
      <c r="J21" s="31" t="s">
        <v>88</v>
      </c>
      <c r="K21" s="31" t="s">
        <v>10</v>
      </c>
      <c r="L21">
        <v>56005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1F20-3D0C-41E8-BF21-823053CF2879}">
  <dimension ref="A1:Q21"/>
  <sheetViews>
    <sheetView topLeftCell="C1" zoomScale="110" zoomScaleNormal="110" workbookViewId="0">
      <selection activeCell="Q6" sqref="Q6"/>
    </sheetView>
  </sheetViews>
  <sheetFormatPr defaultRowHeight="15" x14ac:dyDescent="0.25"/>
  <cols>
    <col min="1" max="1" width="16.140625" customWidth="1"/>
    <col min="10" max="10" width="16.42578125" customWidth="1"/>
    <col min="11" max="11" width="13.28515625" customWidth="1"/>
    <col min="13" max="13" width="13.140625" customWidth="1"/>
    <col min="14" max="14" width="15" customWidth="1"/>
    <col min="16" max="16" width="16" customWidth="1"/>
  </cols>
  <sheetData>
    <row r="1" spans="1:17" ht="35.25" thickBot="1" x14ac:dyDescent="0.3">
      <c r="A1" s="32" t="s">
        <v>86</v>
      </c>
      <c r="B1" s="32" t="s">
        <v>3</v>
      </c>
      <c r="F1" s="32" t="s">
        <v>75</v>
      </c>
      <c r="G1" s="32" t="s">
        <v>1</v>
      </c>
      <c r="H1" s="32" t="s">
        <v>101</v>
      </c>
      <c r="J1" s="32" t="s">
        <v>106</v>
      </c>
      <c r="K1" s="32" t="s">
        <v>56</v>
      </c>
      <c r="M1" s="32" t="s">
        <v>112</v>
      </c>
      <c r="N1" s="32" t="s">
        <v>56</v>
      </c>
    </row>
    <row r="2" spans="1:17" ht="18" thickBot="1" x14ac:dyDescent="0.3">
      <c r="A2" s="33" t="s">
        <v>96</v>
      </c>
      <c r="B2">
        <v>28000</v>
      </c>
      <c r="F2" s="33">
        <v>1</v>
      </c>
      <c r="G2" s="33" t="s">
        <v>91</v>
      </c>
      <c r="H2">
        <v>85</v>
      </c>
      <c r="J2" s="33" t="s">
        <v>107</v>
      </c>
      <c r="K2">
        <v>22000</v>
      </c>
      <c r="M2" s="33" t="s">
        <v>113</v>
      </c>
      <c r="N2">
        <v>4500</v>
      </c>
    </row>
    <row r="3" spans="1:17" ht="18" thickBot="1" x14ac:dyDescent="0.3">
      <c r="A3" s="33" t="s">
        <v>97</v>
      </c>
      <c r="B3">
        <v>34000</v>
      </c>
      <c r="F3" s="33">
        <v>2</v>
      </c>
      <c r="G3" s="33" t="s">
        <v>102</v>
      </c>
      <c r="H3">
        <v>72</v>
      </c>
      <c r="J3" s="33" t="s">
        <v>108</v>
      </c>
      <c r="K3">
        <v>3500</v>
      </c>
      <c r="M3" s="33" t="s">
        <v>114</v>
      </c>
      <c r="N3">
        <v>12000</v>
      </c>
    </row>
    <row r="4" spans="1:17" ht="35.25" thickBot="1" x14ac:dyDescent="0.3">
      <c r="A4" s="33" t="s">
        <v>98</v>
      </c>
      <c r="B4">
        <v>51000</v>
      </c>
      <c r="F4" s="33">
        <v>3</v>
      </c>
      <c r="G4" s="33" t="s">
        <v>103</v>
      </c>
      <c r="H4">
        <v>39</v>
      </c>
      <c r="J4" s="33" t="s">
        <v>109</v>
      </c>
      <c r="K4">
        <v>58000</v>
      </c>
      <c r="M4" s="33" t="s">
        <v>115</v>
      </c>
      <c r="N4">
        <v>8000</v>
      </c>
      <c r="P4" t="s">
        <v>133</v>
      </c>
      <c r="Q4">
        <f>COUNTIF(N2:N21,"&gt;10000")</f>
        <v>12</v>
      </c>
    </row>
    <row r="5" spans="1:17" ht="18" thickBot="1" x14ac:dyDescent="0.3">
      <c r="A5" s="33" t="s">
        <v>99</v>
      </c>
      <c r="B5">
        <v>47000</v>
      </c>
      <c r="F5" s="33">
        <v>4</v>
      </c>
      <c r="G5" s="33" t="s">
        <v>104</v>
      </c>
      <c r="H5">
        <v>91</v>
      </c>
      <c r="J5" s="33" t="s">
        <v>110</v>
      </c>
      <c r="K5">
        <v>1800</v>
      </c>
      <c r="M5" s="33" t="s">
        <v>116</v>
      </c>
      <c r="N5">
        <v>25000</v>
      </c>
      <c r="P5" t="s">
        <v>134</v>
      </c>
      <c r="Q5">
        <f>COUNTIF(N2:N21,"&lt;5000")</f>
        <v>4</v>
      </c>
    </row>
    <row r="6" spans="1:17" ht="35.25" thickBot="1" x14ac:dyDescent="0.3">
      <c r="A6" s="33" t="s">
        <v>100</v>
      </c>
      <c r="B6">
        <v>29000</v>
      </c>
      <c r="F6" s="33">
        <v>5</v>
      </c>
      <c r="G6" s="33" t="s">
        <v>105</v>
      </c>
      <c r="H6">
        <v>28</v>
      </c>
      <c r="J6" s="33" t="s">
        <v>111</v>
      </c>
      <c r="K6">
        <v>12000</v>
      </c>
      <c r="M6" s="33" t="s">
        <v>117</v>
      </c>
      <c r="N6">
        <v>3000</v>
      </c>
    </row>
    <row r="7" spans="1:17" ht="18" thickBot="1" x14ac:dyDescent="0.3">
      <c r="A7" s="33" t="s">
        <v>96</v>
      </c>
      <c r="B7">
        <v>45865</v>
      </c>
      <c r="F7" s="33">
        <v>6</v>
      </c>
      <c r="G7" s="33" t="s">
        <v>91</v>
      </c>
      <c r="H7">
        <v>49</v>
      </c>
      <c r="J7" s="33" t="s">
        <v>107</v>
      </c>
      <c r="K7">
        <v>23207</v>
      </c>
      <c r="M7" s="33" t="s">
        <v>118</v>
      </c>
      <c r="N7">
        <v>15000</v>
      </c>
    </row>
    <row r="8" spans="1:17" ht="18" thickBot="1" x14ac:dyDescent="0.3">
      <c r="A8" s="33" t="s">
        <v>97</v>
      </c>
      <c r="B8">
        <v>36771</v>
      </c>
      <c r="F8" s="33">
        <v>7</v>
      </c>
      <c r="G8" s="33" t="s">
        <v>102</v>
      </c>
      <c r="H8">
        <v>98</v>
      </c>
      <c r="J8" s="33" t="s">
        <v>108</v>
      </c>
      <c r="K8">
        <v>17517</v>
      </c>
      <c r="M8" s="33" t="s">
        <v>119</v>
      </c>
      <c r="N8">
        <v>5108</v>
      </c>
    </row>
    <row r="9" spans="1:17" ht="35.25" thickBot="1" x14ac:dyDescent="0.3">
      <c r="A9" s="33" t="s">
        <v>98</v>
      </c>
      <c r="B9">
        <v>56595</v>
      </c>
      <c r="F9" s="33">
        <v>8</v>
      </c>
      <c r="G9" s="33" t="s">
        <v>103</v>
      </c>
      <c r="H9">
        <v>95</v>
      </c>
      <c r="J9" s="33" t="s">
        <v>109</v>
      </c>
      <c r="K9">
        <v>17035</v>
      </c>
      <c r="M9" s="33" t="s">
        <v>120</v>
      </c>
      <c r="N9">
        <v>19570</v>
      </c>
    </row>
    <row r="10" spans="1:17" ht="18" thickBot="1" x14ac:dyDescent="0.3">
      <c r="A10" s="33" t="s">
        <v>99</v>
      </c>
      <c r="B10">
        <v>52197</v>
      </c>
      <c r="F10" s="33">
        <v>9</v>
      </c>
      <c r="G10" s="33" t="s">
        <v>104</v>
      </c>
      <c r="H10">
        <v>52</v>
      </c>
      <c r="J10" s="33" t="s">
        <v>110</v>
      </c>
      <c r="K10">
        <v>5483</v>
      </c>
      <c r="M10" s="33" t="s">
        <v>121</v>
      </c>
      <c r="N10">
        <v>18434</v>
      </c>
    </row>
    <row r="11" spans="1:17" ht="35.25" thickBot="1" x14ac:dyDescent="0.3">
      <c r="A11" s="33" t="s">
        <v>100</v>
      </c>
      <c r="B11">
        <v>70017</v>
      </c>
      <c r="F11" s="33">
        <v>10</v>
      </c>
      <c r="G11" s="33" t="s">
        <v>105</v>
      </c>
      <c r="H11">
        <v>98</v>
      </c>
      <c r="J11" s="33" t="s">
        <v>111</v>
      </c>
      <c r="K11">
        <v>18618</v>
      </c>
      <c r="M11" s="33" t="s">
        <v>122</v>
      </c>
      <c r="N11">
        <v>18856</v>
      </c>
    </row>
    <row r="12" spans="1:17" ht="18" thickBot="1" x14ac:dyDescent="0.3">
      <c r="A12" s="33" t="s">
        <v>96</v>
      </c>
      <c r="B12">
        <v>52312</v>
      </c>
      <c r="F12" s="33">
        <v>11</v>
      </c>
      <c r="G12" s="33" t="s">
        <v>91</v>
      </c>
      <c r="H12">
        <v>30</v>
      </c>
      <c r="J12" s="33" t="s">
        <v>107</v>
      </c>
      <c r="K12">
        <v>9383</v>
      </c>
      <c r="M12" s="33" t="s">
        <v>123</v>
      </c>
      <c r="N12">
        <v>7888</v>
      </c>
    </row>
    <row r="13" spans="1:17" ht="18" thickBot="1" x14ac:dyDescent="0.3">
      <c r="A13" s="33" t="s">
        <v>97</v>
      </c>
      <c r="B13">
        <v>57270</v>
      </c>
      <c r="F13" s="33">
        <v>12</v>
      </c>
      <c r="G13" s="33" t="s">
        <v>102</v>
      </c>
      <c r="H13">
        <v>91</v>
      </c>
      <c r="J13" s="33" t="s">
        <v>108</v>
      </c>
      <c r="K13">
        <v>17991</v>
      </c>
      <c r="M13" s="33" t="s">
        <v>124</v>
      </c>
      <c r="N13">
        <v>3624</v>
      </c>
    </row>
    <row r="14" spans="1:17" ht="35.25" thickBot="1" x14ac:dyDescent="0.3">
      <c r="A14" s="33" t="s">
        <v>98</v>
      </c>
      <c r="B14">
        <v>50225</v>
      </c>
      <c r="F14" s="33">
        <v>13</v>
      </c>
      <c r="G14" s="33" t="s">
        <v>103</v>
      </c>
      <c r="H14">
        <v>90</v>
      </c>
      <c r="J14" s="33" t="s">
        <v>109</v>
      </c>
      <c r="K14">
        <v>18461</v>
      </c>
      <c r="M14" s="33" t="s">
        <v>125</v>
      </c>
      <c r="N14">
        <v>6151</v>
      </c>
    </row>
    <row r="15" spans="1:17" ht="18" thickBot="1" x14ac:dyDescent="0.3">
      <c r="A15" s="33" t="s">
        <v>99</v>
      </c>
      <c r="B15">
        <v>27010</v>
      </c>
      <c r="F15" s="33">
        <v>14</v>
      </c>
      <c r="G15" s="33" t="s">
        <v>104</v>
      </c>
      <c r="H15">
        <v>92</v>
      </c>
      <c r="J15" s="33" t="s">
        <v>110</v>
      </c>
      <c r="K15">
        <v>28291</v>
      </c>
      <c r="M15" s="33" t="s">
        <v>126</v>
      </c>
      <c r="N15">
        <v>3993</v>
      </c>
    </row>
    <row r="16" spans="1:17" ht="35.25" thickBot="1" x14ac:dyDescent="0.3">
      <c r="A16" s="33" t="s">
        <v>100</v>
      </c>
      <c r="B16">
        <v>65135</v>
      </c>
      <c r="F16" s="33">
        <v>15</v>
      </c>
      <c r="G16" s="33" t="s">
        <v>105</v>
      </c>
      <c r="H16">
        <v>73</v>
      </c>
      <c r="J16" s="33" t="s">
        <v>111</v>
      </c>
      <c r="K16">
        <v>11103</v>
      </c>
      <c r="M16" s="33" t="s">
        <v>127</v>
      </c>
      <c r="N16">
        <v>16739</v>
      </c>
    </row>
    <row r="17" spans="1:14" ht="18" thickBot="1" x14ac:dyDescent="0.3">
      <c r="A17" s="33" t="s">
        <v>96</v>
      </c>
      <c r="B17">
        <v>26810</v>
      </c>
      <c r="F17" s="33">
        <v>16</v>
      </c>
      <c r="G17" s="33" t="s">
        <v>91</v>
      </c>
      <c r="H17">
        <v>86</v>
      </c>
      <c r="J17" s="33" t="s">
        <v>107</v>
      </c>
      <c r="K17">
        <v>3798</v>
      </c>
      <c r="M17" s="33" t="s">
        <v>128</v>
      </c>
      <c r="N17">
        <v>17653</v>
      </c>
    </row>
    <row r="18" spans="1:14" ht="18" thickBot="1" x14ac:dyDescent="0.3">
      <c r="A18" s="33" t="s">
        <v>97</v>
      </c>
      <c r="B18">
        <v>66454</v>
      </c>
      <c r="F18" s="33">
        <v>17</v>
      </c>
      <c r="G18" s="33" t="s">
        <v>102</v>
      </c>
      <c r="H18">
        <v>34</v>
      </c>
      <c r="J18" s="33" t="s">
        <v>108</v>
      </c>
      <c r="K18">
        <v>27915</v>
      </c>
      <c r="M18" s="33" t="s">
        <v>129</v>
      </c>
      <c r="N18">
        <v>10507</v>
      </c>
    </row>
    <row r="19" spans="1:14" ht="35.25" thickBot="1" x14ac:dyDescent="0.3">
      <c r="A19" s="33" t="s">
        <v>98</v>
      </c>
      <c r="B19">
        <v>27550</v>
      </c>
      <c r="F19" s="33">
        <v>18</v>
      </c>
      <c r="G19" s="33" t="s">
        <v>103</v>
      </c>
      <c r="H19">
        <v>44</v>
      </c>
      <c r="J19" s="33" t="s">
        <v>109</v>
      </c>
      <c r="K19">
        <v>28254</v>
      </c>
      <c r="M19" s="33" t="s">
        <v>130</v>
      </c>
      <c r="N19">
        <v>18689</v>
      </c>
    </row>
    <row r="20" spans="1:14" ht="18" thickBot="1" x14ac:dyDescent="0.3">
      <c r="A20" s="33" t="s">
        <v>99</v>
      </c>
      <c r="B20">
        <v>31014</v>
      </c>
      <c r="F20" s="33">
        <v>19</v>
      </c>
      <c r="G20" s="33" t="s">
        <v>104</v>
      </c>
      <c r="H20">
        <v>75</v>
      </c>
      <c r="J20" s="33" t="s">
        <v>110</v>
      </c>
      <c r="K20">
        <v>15229</v>
      </c>
      <c r="M20" s="33" t="s">
        <v>131</v>
      </c>
      <c r="N20">
        <v>17577</v>
      </c>
    </row>
    <row r="21" spans="1:14" ht="35.25" thickBot="1" x14ac:dyDescent="0.3">
      <c r="A21" s="33" t="s">
        <v>100</v>
      </c>
      <c r="B21">
        <v>28840</v>
      </c>
      <c r="F21" s="33">
        <v>20</v>
      </c>
      <c r="G21" s="33" t="s">
        <v>105</v>
      </c>
      <c r="H21">
        <v>88</v>
      </c>
      <c r="J21" s="33" t="s">
        <v>111</v>
      </c>
      <c r="K21">
        <v>19965</v>
      </c>
      <c r="M21" s="33" t="s">
        <v>132</v>
      </c>
      <c r="N21">
        <v>13880</v>
      </c>
    </row>
  </sheetData>
  <phoneticPr fontId="2" type="noConversion"/>
  <conditionalFormatting sqref="B1:B21">
    <cfRule type="cellIs" dxfId="9" priority="7" operator="lessThan">
      <formula>30000</formula>
    </cfRule>
  </conditionalFormatting>
  <conditionalFormatting sqref="B2:B21">
    <cfRule type="cellIs" dxfId="8" priority="8" operator="between">
      <formula>30000</formula>
      <formula>49999</formula>
    </cfRule>
    <cfRule type="cellIs" dxfId="7" priority="9" operator="greaterThan">
      <formula>50000</formula>
    </cfRule>
  </conditionalFormatting>
  <conditionalFormatting sqref="H2:H21">
    <cfRule type="cellIs" dxfId="6" priority="3" operator="lessThan">
      <formula>40</formula>
    </cfRule>
    <cfRule type="cellIs" dxfId="5" priority="4" operator="greaterThan">
      <formula>75</formula>
    </cfRule>
    <cfRule type="cellIs" priority="5" operator="greaterThanOrEqual">
      <formula>"green"</formula>
    </cfRule>
    <cfRule type="cellIs" priority="6" operator="greaterThanOrEqual">
      <formula>75</formula>
    </cfRule>
  </conditionalFormatting>
  <conditionalFormatting sqref="K2:K21">
    <cfRule type="cellIs" dxfId="4" priority="1" operator="lessThan">
      <formula>5000</formula>
    </cfRule>
    <cfRule type="cellIs" dxfId="3" priority="2" operator="greaterThan">
      <formula>20000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246B-A2D4-45F7-BEC7-44D6A7091171}">
  <dimension ref="A1:S26"/>
  <sheetViews>
    <sheetView workbookViewId="0">
      <selection activeCell="L6" sqref="L6"/>
    </sheetView>
  </sheetViews>
  <sheetFormatPr defaultRowHeight="15" x14ac:dyDescent="0.25"/>
  <cols>
    <col min="1" max="1" width="14.42578125" customWidth="1"/>
    <col min="2" max="2" width="17.28515625" customWidth="1"/>
    <col min="3" max="3" width="14.28515625" customWidth="1"/>
    <col min="4" max="4" width="14.140625" customWidth="1"/>
    <col min="6" max="6" width="11.140625" bestFit="1" customWidth="1"/>
    <col min="7" max="7" width="13.28515625" customWidth="1"/>
    <col min="8" max="8" width="10.5703125" customWidth="1"/>
    <col min="9" max="9" width="16.28515625" customWidth="1"/>
    <col min="10" max="10" width="14.42578125" customWidth="1"/>
    <col min="11" max="11" width="12.7109375" customWidth="1"/>
    <col min="12" max="12" width="16.28515625" customWidth="1"/>
    <col min="13" max="13" width="15.42578125" customWidth="1"/>
    <col min="14" max="14" width="15.5703125" customWidth="1"/>
    <col min="15" max="15" width="13.28515625" customWidth="1"/>
    <col min="18" max="18" width="14" customWidth="1"/>
    <col min="19" max="19" width="22.28515625" customWidth="1"/>
  </cols>
  <sheetData>
    <row r="1" spans="1:19" ht="52.5" thickBot="1" x14ac:dyDescent="0.3">
      <c r="A1" s="32" t="s">
        <v>75</v>
      </c>
      <c r="B1" s="32" t="s">
        <v>76</v>
      </c>
      <c r="C1" s="32" t="s">
        <v>101</v>
      </c>
      <c r="D1" s="32" t="s">
        <v>135</v>
      </c>
      <c r="G1" s="32" t="s">
        <v>86</v>
      </c>
      <c r="H1" s="32" t="s">
        <v>3</v>
      </c>
      <c r="I1" s="32" t="s">
        <v>137</v>
      </c>
      <c r="K1" s="32" t="s">
        <v>76</v>
      </c>
      <c r="L1" s="32" t="s">
        <v>101</v>
      </c>
      <c r="M1" s="32" t="s">
        <v>138</v>
      </c>
      <c r="P1" s="32" t="s">
        <v>1</v>
      </c>
      <c r="Q1" s="32" t="s">
        <v>139</v>
      </c>
      <c r="R1" s="32" t="s">
        <v>140</v>
      </c>
      <c r="S1" s="32" t="s">
        <v>141</v>
      </c>
    </row>
    <row r="2" spans="1:19" ht="18" thickBot="1" x14ac:dyDescent="0.3">
      <c r="A2" s="33">
        <v>1</v>
      </c>
      <c r="B2" s="33" t="s">
        <v>91</v>
      </c>
      <c r="C2" s="33">
        <v>78</v>
      </c>
      <c r="D2" s="33" t="str">
        <f>IF(Sheet5!C2&gt;=40,"PASS","FAIL")</f>
        <v>PASS</v>
      </c>
      <c r="G2" s="33" t="s">
        <v>96</v>
      </c>
      <c r="H2" s="33">
        <v>28000</v>
      </c>
      <c r="I2" s="33" t="str">
        <f>IF(H2&gt;=40000,"BONUS","NO BONUS")</f>
        <v>NO BONUS</v>
      </c>
      <c r="K2" s="33" t="s">
        <v>91</v>
      </c>
      <c r="L2" s="33">
        <v>82</v>
      </c>
      <c r="M2" s="33" t="str">
        <f>IF(L2&gt;=75,"A",IF(L2&gt;=60,"B",IF(L2&gt;=40,"C","FAIL")))</f>
        <v>A</v>
      </c>
      <c r="P2" s="33" t="s">
        <v>96</v>
      </c>
      <c r="Q2" s="33">
        <v>25</v>
      </c>
      <c r="R2" s="33">
        <v>2</v>
      </c>
      <c r="S2" s="33" t="str">
        <f>IF(AND(Q2&gt;=21,R2&gt;=1),"ELIGIBLE","NOT ELIGIBLE")</f>
        <v>ELIGIBLE</v>
      </c>
    </row>
    <row r="3" spans="1:19" ht="35.25" thickBot="1" x14ac:dyDescent="0.3">
      <c r="A3" s="33">
        <v>2</v>
      </c>
      <c r="B3" s="33" t="s">
        <v>102</v>
      </c>
      <c r="C3" s="33">
        <v>35</v>
      </c>
      <c r="D3" s="33" t="str">
        <f>IF(Sheet5!C3&gt;=40,"PASS","FAIL")</f>
        <v>FAIL</v>
      </c>
      <c r="G3" s="33" t="s">
        <v>97</v>
      </c>
      <c r="H3" s="33">
        <v>45000</v>
      </c>
      <c r="I3" s="33" t="str">
        <f t="shared" ref="I3:I5" si="0">IF(H3&gt;=40000,"BONUS","NO BONUS")</f>
        <v>BONUS</v>
      </c>
      <c r="K3" s="33" t="s">
        <v>102</v>
      </c>
      <c r="L3" s="33">
        <v>67</v>
      </c>
      <c r="M3" s="33" t="str">
        <f t="shared" ref="M3:M6" si="1">IF(L3&gt;=75,"A",IF(L3&gt;=60,"B",IF(L3&gt;=40,"C","FAIL")))</f>
        <v>B</v>
      </c>
      <c r="P3" s="33" t="s">
        <v>97</v>
      </c>
      <c r="Q3" s="33">
        <v>20</v>
      </c>
      <c r="R3" s="33">
        <v>1</v>
      </c>
      <c r="S3" s="33" t="str">
        <f t="shared" ref="S3:S5" si="2">IF(AND(Q3&gt;=21,R3&gt;=1),"ELIGIBLE","NOT ELIGIBLE")</f>
        <v>NOT ELIGIBLE</v>
      </c>
    </row>
    <row r="4" spans="1:19" ht="18" thickBot="1" x14ac:dyDescent="0.3">
      <c r="A4" s="33">
        <v>3</v>
      </c>
      <c r="B4" s="33" t="s">
        <v>136</v>
      </c>
      <c r="C4" s="33">
        <v>62</v>
      </c>
      <c r="D4" s="33" t="str">
        <f>IF(Sheet5!C4&gt;=40,"PASS","FAIL")</f>
        <v>PASS</v>
      </c>
      <c r="G4" s="33" t="s">
        <v>98</v>
      </c>
      <c r="H4" s="33">
        <v>52000</v>
      </c>
      <c r="I4" s="33" t="str">
        <f t="shared" si="0"/>
        <v>BONUS</v>
      </c>
      <c r="K4" s="33" t="s">
        <v>136</v>
      </c>
      <c r="L4" s="33">
        <v>45</v>
      </c>
      <c r="M4" s="33" t="str">
        <f t="shared" si="1"/>
        <v>C</v>
      </c>
      <c r="P4" s="33" t="s">
        <v>98</v>
      </c>
      <c r="Q4" s="33">
        <v>30</v>
      </c>
      <c r="R4" s="33">
        <v>5</v>
      </c>
      <c r="S4" s="33" t="str">
        <f t="shared" si="2"/>
        <v>ELIGIBLE</v>
      </c>
    </row>
    <row r="5" spans="1:19" ht="18" thickBot="1" x14ac:dyDescent="0.3">
      <c r="A5" s="33">
        <v>4</v>
      </c>
      <c r="B5" s="33" t="s">
        <v>104</v>
      </c>
      <c r="C5" s="33">
        <v>40</v>
      </c>
      <c r="D5" s="33" t="str">
        <f>IF(Sheet5!C5&gt;=40,"PASS","FAIL")</f>
        <v>PASS</v>
      </c>
      <c r="G5" s="33" t="s">
        <v>99</v>
      </c>
      <c r="H5" s="33">
        <v>30000</v>
      </c>
      <c r="I5" s="33" t="str">
        <f t="shared" si="0"/>
        <v>NO BONUS</v>
      </c>
      <c r="K5" s="33" t="s">
        <v>104</v>
      </c>
      <c r="L5" s="33">
        <v>33</v>
      </c>
      <c r="M5" s="33" t="str">
        <f t="shared" si="1"/>
        <v>FAIL</v>
      </c>
      <c r="P5" s="33" t="s">
        <v>99</v>
      </c>
      <c r="Q5" s="33">
        <v>22</v>
      </c>
      <c r="R5" s="33">
        <v>0</v>
      </c>
      <c r="S5" s="33" t="str">
        <f t="shared" si="2"/>
        <v>NOT ELIGIBLE</v>
      </c>
    </row>
    <row r="6" spans="1:19" ht="18" thickBot="1" x14ac:dyDescent="0.3">
      <c r="A6" s="33">
        <v>5</v>
      </c>
      <c r="B6" s="33" t="s">
        <v>105</v>
      </c>
      <c r="C6" s="33">
        <v>28</v>
      </c>
      <c r="D6" s="33" t="str">
        <f>IF(Sheet5!C6&gt;=40,"PASS","FAIL")</f>
        <v>FAIL</v>
      </c>
      <c r="K6" s="33" t="s">
        <v>105</v>
      </c>
      <c r="L6" s="33">
        <v>90</v>
      </c>
      <c r="M6" s="33" t="str">
        <f t="shared" si="1"/>
        <v>A</v>
      </c>
    </row>
    <row r="9" spans="1:19" ht="15.75" thickBot="1" x14ac:dyDescent="0.3"/>
    <row r="10" spans="1:19" ht="69.75" thickBot="1" x14ac:dyDescent="0.3">
      <c r="C10" s="32" t="s">
        <v>76</v>
      </c>
      <c r="D10" s="32" t="s">
        <v>142</v>
      </c>
      <c r="E10" s="32" t="s">
        <v>143</v>
      </c>
      <c r="F10" s="32" t="s">
        <v>141</v>
      </c>
      <c r="I10" s="32" t="s">
        <v>146</v>
      </c>
      <c r="J10" s="32" t="s">
        <v>147</v>
      </c>
      <c r="K10" s="32" t="s">
        <v>148</v>
      </c>
      <c r="L10" s="32" t="s">
        <v>149</v>
      </c>
      <c r="O10" s="32" t="s">
        <v>151</v>
      </c>
      <c r="P10" s="32" t="s">
        <v>3</v>
      </c>
      <c r="Q10" s="32" t="s">
        <v>152</v>
      </c>
      <c r="R10" s="32" t="s">
        <v>153</v>
      </c>
    </row>
    <row r="11" spans="1:19" ht="18" thickBot="1" x14ac:dyDescent="0.3">
      <c r="C11" s="33" t="s">
        <v>91</v>
      </c>
      <c r="D11" s="33">
        <v>85</v>
      </c>
      <c r="E11" s="33" t="s">
        <v>144</v>
      </c>
      <c r="F11" s="33" t="e" cm="1">
        <f t="array" ref="F11">IF(AND(D11&gt;=75,E11=YES), "ELIGIBLE", "NOT ELIGIBLE")</f>
        <v>#NAME?</v>
      </c>
      <c r="I11" s="33" t="s">
        <v>81</v>
      </c>
      <c r="J11" s="33">
        <v>9000</v>
      </c>
      <c r="K11" s="33" t="s">
        <v>145</v>
      </c>
      <c r="L11" s="33" t="str">
        <f>IF(OR(J11&gt;=10000, K11="Yes"), "Yes", "No")</f>
        <v>No</v>
      </c>
      <c r="O11" s="33" t="s">
        <v>96</v>
      </c>
      <c r="P11" s="33">
        <v>35000</v>
      </c>
      <c r="Q11" s="33">
        <v>720</v>
      </c>
      <c r="R11" s="33" t="str">
        <f>IF(OR(P11&gt;=40000, Q11="700"), "APPROVED", "No")</f>
        <v>No</v>
      </c>
    </row>
    <row r="12" spans="1:19" ht="18" thickBot="1" x14ac:dyDescent="0.3">
      <c r="C12" s="33" t="s">
        <v>102</v>
      </c>
      <c r="D12" s="33">
        <v>72</v>
      </c>
      <c r="E12" s="33" t="s">
        <v>144</v>
      </c>
      <c r="F12" s="33"/>
      <c r="I12" s="33" t="s">
        <v>150</v>
      </c>
      <c r="J12" s="33">
        <v>12000</v>
      </c>
      <c r="K12" s="33" t="s">
        <v>145</v>
      </c>
      <c r="L12" s="33" t="str">
        <f t="shared" ref="L12:L14" si="3">IF(OR(J12&gt;=10000, K12="Yes"), "Yes", "No")</f>
        <v>Yes</v>
      </c>
      <c r="O12" s="33" t="s">
        <v>97</v>
      </c>
      <c r="P12" s="33">
        <v>25000</v>
      </c>
      <c r="Q12" s="33">
        <v>680</v>
      </c>
      <c r="R12" s="33" t="str">
        <f t="shared" ref="R12:R14" si="4">IF(OR(P12&gt;=40000, Q12="700"), "APPROVED", "No")</f>
        <v>No</v>
      </c>
    </row>
    <row r="13" spans="1:19" ht="18" thickBot="1" x14ac:dyDescent="0.3">
      <c r="C13" s="33" t="s">
        <v>136</v>
      </c>
      <c r="D13" s="33">
        <v>90</v>
      </c>
      <c r="E13" s="33" t="s">
        <v>145</v>
      </c>
      <c r="F13" s="33"/>
      <c r="I13" s="33" t="s">
        <v>136</v>
      </c>
      <c r="J13" s="33">
        <v>4000</v>
      </c>
      <c r="K13" s="33" t="s">
        <v>144</v>
      </c>
      <c r="L13" s="33" t="str">
        <f t="shared" si="3"/>
        <v>Yes</v>
      </c>
      <c r="O13" s="33" t="s">
        <v>98</v>
      </c>
      <c r="P13" s="33">
        <v>50000</v>
      </c>
      <c r="Q13" s="33">
        <v>650</v>
      </c>
      <c r="R13" s="33" t="str">
        <f t="shared" si="4"/>
        <v>APPROVED</v>
      </c>
    </row>
    <row r="14" spans="1:19" ht="18" thickBot="1" x14ac:dyDescent="0.3">
      <c r="C14" s="33" t="s">
        <v>104</v>
      </c>
      <c r="D14" s="33">
        <v>80</v>
      </c>
      <c r="E14" s="33" t="s">
        <v>144</v>
      </c>
      <c r="F14" s="34"/>
      <c r="I14" s="33" t="s">
        <v>84</v>
      </c>
      <c r="J14" s="33">
        <v>3000</v>
      </c>
      <c r="K14" s="33" t="s">
        <v>145</v>
      </c>
      <c r="L14" s="33" t="str">
        <f t="shared" si="3"/>
        <v>No</v>
      </c>
      <c r="O14" s="33" t="s">
        <v>99</v>
      </c>
      <c r="P14" s="33">
        <v>20000</v>
      </c>
      <c r="Q14" s="33">
        <v>600</v>
      </c>
      <c r="R14" s="33" t="str">
        <f t="shared" si="4"/>
        <v>No</v>
      </c>
    </row>
    <row r="17" spans="4:19" ht="15.75" thickBot="1" x14ac:dyDescent="0.3"/>
    <row r="18" spans="4:19" ht="45.75" thickBot="1" x14ac:dyDescent="0.3">
      <c r="D18" s="32" t="s">
        <v>1</v>
      </c>
      <c r="E18" s="32" t="s">
        <v>154</v>
      </c>
      <c r="F18" s="32" t="s">
        <v>155</v>
      </c>
      <c r="I18" s="32"/>
      <c r="J18" s="32"/>
      <c r="K18" s="32"/>
      <c r="L18" s="32" t="s">
        <v>156</v>
      </c>
      <c r="M18" s="32" t="s">
        <v>157</v>
      </c>
      <c r="N18" s="32" t="s">
        <v>135</v>
      </c>
      <c r="P18" s="35" t="s">
        <v>86</v>
      </c>
      <c r="Q18" s="35" t="s">
        <v>158</v>
      </c>
      <c r="R18" s="35" t="s">
        <v>142</v>
      </c>
      <c r="S18" s="35" t="s">
        <v>159</v>
      </c>
    </row>
    <row r="19" spans="4:19" ht="18" thickBot="1" x14ac:dyDescent="0.3">
      <c r="D19" s="33" t="s">
        <v>91</v>
      </c>
      <c r="E19" s="33" t="b">
        <v>1</v>
      </c>
      <c r="F19" s="33" t="str">
        <f>IF(NOT(E19="TRUE"),"ABSENT","PRESENT")</f>
        <v>ABSENT</v>
      </c>
      <c r="I19" s="32"/>
      <c r="J19" s="32"/>
      <c r="K19" s="32"/>
      <c r="L19" s="33">
        <v>10</v>
      </c>
      <c r="M19" s="33">
        <v>2</v>
      </c>
      <c r="N19" s="33">
        <f>IFERROR(L19/M19,"INVALID")</f>
        <v>5</v>
      </c>
      <c r="P19" s="36" t="s">
        <v>160</v>
      </c>
      <c r="Q19" s="36">
        <v>45</v>
      </c>
      <c r="R19" s="36">
        <v>92</v>
      </c>
      <c r="S19" s="36" t="str">
        <f>IF(AND(R19&gt;=90,Q19&gt;=40),"EXCELLENT",IF(R19&gt;=80,"GOOD","NEED IMPROVEMENT"))</f>
        <v>EXCELLENT</v>
      </c>
    </row>
    <row r="20" spans="4:19" ht="18" thickBot="1" x14ac:dyDescent="0.3">
      <c r="D20" s="33" t="s">
        <v>102</v>
      </c>
      <c r="E20" s="33" t="b">
        <v>0</v>
      </c>
      <c r="F20" s="33" t="str">
        <f t="shared" ref="F20:F22" si="5">IF(NOT(E20="TRUE"),"ABSENT","PRESENT")</f>
        <v>ABSENT</v>
      </c>
      <c r="I20" s="32"/>
      <c r="J20" s="32"/>
      <c r="K20" s="32"/>
      <c r="L20" s="33">
        <v>15</v>
      </c>
      <c r="M20" s="33">
        <v>0</v>
      </c>
      <c r="N20" s="33" t="str">
        <f t="shared" ref="N20:N22" si="6">IFERROR(L20/M20,"INVALID")</f>
        <v>INVALID</v>
      </c>
      <c r="P20" s="36" t="s">
        <v>161</v>
      </c>
      <c r="Q20" s="36">
        <v>38</v>
      </c>
      <c r="R20" s="36">
        <v>85</v>
      </c>
      <c r="S20" s="36" t="str">
        <f t="shared" ref="S20:S22" si="7">IF(AND(R20&gt;=90,Q20&gt;=40),"EXCELLENT",IF(R20&gt;=80,"GOOD","NEED IMPROVEMENT"))</f>
        <v>GOOD</v>
      </c>
    </row>
    <row r="21" spans="4:19" ht="18" thickBot="1" x14ac:dyDescent="0.3">
      <c r="D21" s="33" t="s">
        <v>136</v>
      </c>
      <c r="E21" s="33" t="b">
        <v>1</v>
      </c>
      <c r="F21" s="33" t="str">
        <f t="shared" si="5"/>
        <v>ABSENT</v>
      </c>
      <c r="I21" s="32"/>
      <c r="J21" s="32"/>
      <c r="K21" s="32"/>
      <c r="L21" s="33">
        <v>20</v>
      </c>
      <c r="M21" s="33">
        <v>5</v>
      </c>
      <c r="N21" s="33">
        <f t="shared" si="6"/>
        <v>4</v>
      </c>
      <c r="P21" s="36" t="s">
        <v>162</v>
      </c>
      <c r="Q21" s="36">
        <v>50</v>
      </c>
      <c r="R21" s="36">
        <v>95</v>
      </c>
      <c r="S21" s="36" t="str">
        <f t="shared" si="7"/>
        <v>EXCELLENT</v>
      </c>
    </row>
    <row r="22" spans="4:19" ht="18" thickBot="1" x14ac:dyDescent="0.3">
      <c r="D22" s="33" t="s">
        <v>104</v>
      </c>
      <c r="E22" s="33" t="b">
        <v>0</v>
      </c>
      <c r="F22" s="33" t="str">
        <f t="shared" si="5"/>
        <v>ABSENT</v>
      </c>
      <c r="I22" s="32"/>
      <c r="J22" s="32"/>
      <c r="K22" s="32"/>
      <c r="L22" s="33">
        <v>8</v>
      </c>
      <c r="M22" s="33">
        <v>0</v>
      </c>
      <c r="N22" s="33" t="str">
        <f t="shared" si="6"/>
        <v>INVALID</v>
      </c>
      <c r="P22" s="36" t="s">
        <v>69</v>
      </c>
      <c r="Q22" s="36">
        <v>30</v>
      </c>
      <c r="R22" s="36">
        <v>70</v>
      </c>
      <c r="S22" s="36" t="str">
        <f t="shared" si="7"/>
        <v>NEED IMPROVEMENT</v>
      </c>
    </row>
    <row r="23" spans="4:19" ht="21" x14ac:dyDescent="0.25">
      <c r="P23" s="37" t="s">
        <v>163</v>
      </c>
      <c r="Q23" s="34"/>
      <c r="R23" s="34"/>
      <c r="S23" s="34"/>
    </row>
    <row r="24" spans="4:19" ht="155.25" x14ac:dyDescent="0.25">
      <c r="P24" s="38" t="s">
        <v>164</v>
      </c>
      <c r="Q24" s="34"/>
      <c r="R24" s="34"/>
      <c r="S24" s="34"/>
    </row>
    <row r="25" spans="4:19" ht="86.25" x14ac:dyDescent="0.25">
      <c r="P25" s="38" t="s">
        <v>165</v>
      </c>
      <c r="Q25" s="34"/>
      <c r="R25" s="34"/>
      <c r="S25" s="34"/>
    </row>
    <row r="26" spans="4:19" ht="86.25" x14ac:dyDescent="0.25">
      <c r="P26" s="38" t="s">
        <v>166</v>
      </c>
      <c r="Q26" s="34"/>
      <c r="R26" s="34"/>
      <c r="S26" s="3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7EC5-9438-40E9-B32F-A8E0444AFEA3}">
  <dimension ref="A1:W25"/>
  <sheetViews>
    <sheetView topLeftCell="A4" zoomScale="110" zoomScaleNormal="110" workbookViewId="0">
      <selection activeCell="J20" sqref="J20"/>
    </sheetView>
  </sheetViews>
  <sheetFormatPr defaultRowHeight="15" x14ac:dyDescent="0.25"/>
  <cols>
    <col min="3" max="3" width="11.42578125" customWidth="1"/>
    <col min="4" max="4" width="9.28515625" customWidth="1"/>
    <col min="5" max="5" width="10.85546875" customWidth="1"/>
    <col min="12" max="12" width="13.5703125" customWidth="1"/>
    <col min="13" max="14" width="10.7109375" customWidth="1"/>
    <col min="16" max="16" width="12" customWidth="1"/>
  </cols>
  <sheetData>
    <row r="1" spans="1:16" x14ac:dyDescent="0.25">
      <c r="A1" s="39" t="s">
        <v>167</v>
      </c>
    </row>
    <row r="3" spans="1:16" x14ac:dyDescent="0.25">
      <c r="A3" s="40" t="s">
        <v>168</v>
      </c>
      <c r="B3" s="40" t="s">
        <v>1</v>
      </c>
      <c r="C3" s="40" t="s">
        <v>169</v>
      </c>
      <c r="D3" s="40" t="s">
        <v>170</v>
      </c>
      <c r="E3" s="40" t="s">
        <v>171</v>
      </c>
    </row>
    <row r="4" spans="1:16" x14ac:dyDescent="0.25">
      <c r="A4" s="40" t="s">
        <v>5</v>
      </c>
      <c r="B4" s="40" t="s">
        <v>172</v>
      </c>
      <c r="C4" s="40" t="s">
        <v>7</v>
      </c>
      <c r="D4" s="40">
        <v>45000</v>
      </c>
      <c r="E4" s="40" t="s">
        <v>183</v>
      </c>
    </row>
    <row r="5" spans="1:16" x14ac:dyDescent="0.25">
      <c r="A5" s="40" t="s">
        <v>8</v>
      </c>
      <c r="B5" s="40" t="s">
        <v>173</v>
      </c>
      <c r="C5" s="40" t="s">
        <v>10</v>
      </c>
      <c r="D5" s="40">
        <v>60000</v>
      </c>
      <c r="E5" s="40" t="s">
        <v>184</v>
      </c>
      <c r="I5" s="40" t="s">
        <v>168</v>
      </c>
      <c r="J5" s="40" t="s">
        <v>193</v>
      </c>
      <c r="L5" s="40" t="s">
        <v>194</v>
      </c>
      <c r="M5" s="40" t="s">
        <v>195</v>
      </c>
      <c r="O5" s="40" t="s">
        <v>168</v>
      </c>
      <c r="P5" s="40" t="s">
        <v>171</v>
      </c>
    </row>
    <row r="6" spans="1:16" x14ac:dyDescent="0.25">
      <c r="A6" s="40" t="s">
        <v>11</v>
      </c>
      <c r="B6" s="40" t="s">
        <v>174</v>
      </c>
      <c r="C6" s="40" t="s">
        <v>13</v>
      </c>
      <c r="D6" s="40">
        <v>55000</v>
      </c>
      <c r="E6" s="40" t="s">
        <v>185</v>
      </c>
      <c r="I6" s="40" t="s">
        <v>5</v>
      </c>
      <c r="J6" s="40" t="str">
        <f>IFERROR(VLOOKUP(I6,A3:E13,2,0),"INVALID")</f>
        <v>AMIT</v>
      </c>
      <c r="L6" s="40" t="s">
        <v>7</v>
      </c>
      <c r="M6" s="40"/>
      <c r="O6" s="40" t="s">
        <v>5</v>
      </c>
      <c r="P6" s="40" t="str">
        <f>VLOOKUP(O6,A3:E13,5,0)</f>
        <v>Ahmedabad</v>
      </c>
    </row>
    <row r="7" spans="1:16" x14ac:dyDescent="0.25">
      <c r="A7" s="40" t="s">
        <v>14</v>
      </c>
      <c r="B7" s="40" t="s">
        <v>175</v>
      </c>
      <c r="C7" s="40" t="s">
        <v>18</v>
      </c>
      <c r="D7" s="40">
        <v>50000</v>
      </c>
      <c r="E7" s="40" t="s">
        <v>186</v>
      </c>
      <c r="I7" s="40" t="s">
        <v>8</v>
      </c>
      <c r="J7" s="40" t="str">
        <f t="shared" ref="J7:J15" si="0">IFERROR(VLOOKUP(I7,A4:E14,2,0),"INVALID")</f>
        <v>NEHA</v>
      </c>
      <c r="L7" s="40" t="s">
        <v>7</v>
      </c>
      <c r="M7" s="40">
        <f t="shared" ref="M7:M13" si="1">VLOOKUP(L7,C4:E14,2,0)</f>
        <v>45000</v>
      </c>
      <c r="O7" s="40" t="s">
        <v>8</v>
      </c>
      <c r="P7" s="40" t="str">
        <f>VLOOKUP(O7,A4:E14,5,0)</f>
        <v>Mumbai</v>
      </c>
    </row>
    <row r="8" spans="1:16" x14ac:dyDescent="0.25">
      <c r="A8" s="40" t="s">
        <v>16</v>
      </c>
      <c r="B8" s="40" t="s">
        <v>176</v>
      </c>
      <c r="C8" s="40" t="s">
        <v>10</v>
      </c>
      <c r="D8" s="40">
        <v>65000</v>
      </c>
      <c r="E8" s="40" t="s">
        <v>187</v>
      </c>
      <c r="I8" s="40" t="s">
        <v>11</v>
      </c>
      <c r="J8" s="40" t="str">
        <f t="shared" si="0"/>
        <v>RAHUL</v>
      </c>
      <c r="L8" s="40" t="s">
        <v>10</v>
      </c>
      <c r="M8" s="40">
        <f t="shared" si="1"/>
        <v>60000</v>
      </c>
      <c r="O8" s="40" t="s">
        <v>11</v>
      </c>
      <c r="P8" s="40" t="str">
        <f t="shared" ref="P8:P15" si="2">VLOOKUP(O8,A5:E15,5,0)</f>
        <v>Delhi</v>
      </c>
    </row>
    <row r="9" spans="1:16" x14ac:dyDescent="0.25">
      <c r="A9" s="40" t="s">
        <v>19</v>
      </c>
      <c r="B9" s="40" t="s">
        <v>177</v>
      </c>
      <c r="C9" s="40" t="s">
        <v>7</v>
      </c>
      <c r="D9" s="40">
        <v>47000</v>
      </c>
      <c r="E9" s="40" t="s">
        <v>188</v>
      </c>
      <c r="I9" s="40" t="s">
        <v>14</v>
      </c>
      <c r="J9" s="40" t="str">
        <f t="shared" si="0"/>
        <v>PRIYA</v>
      </c>
      <c r="L9" s="40" t="s">
        <v>10</v>
      </c>
      <c r="M9" s="40">
        <f t="shared" si="1"/>
        <v>65000</v>
      </c>
      <c r="O9" s="40" t="s">
        <v>14</v>
      </c>
      <c r="P9" s="40" t="str">
        <f t="shared" si="2"/>
        <v>Pune</v>
      </c>
    </row>
    <row r="10" spans="1:16" x14ac:dyDescent="0.25">
      <c r="A10" s="40" t="s">
        <v>20</v>
      </c>
      <c r="B10" s="40" t="s">
        <v>178</v>
      </c>
      <c r="C10" s="40" t="s">
        <v>182</v>
      </c>
      <c r="D10" s="40">
        <v>58000</v>
      </c>
      <c r="E10" s="40" t="s">
        <v>189</v>
      </c>
      <c r="I10" s="40" t="s">
        <v>16</v>
      </c>
      <c r="J10" s="40" t="str">
        <f t="shared" si="0"/>
        <v>KARAN</v>
      </c>
      <c r="L10" s="40" t="s">
        <v>10</v>
      </c>
      <c r="M10" s="40">
        <f t="shared" si="1"/>
        <v>65000</v>
      </c>
      <c r="O10" s="40" t="s">
        <v>16</v>
      </c>
      <c r="P10" s="40" t="str">
        <f t="shared" si="2"/>
        <v>Bengaluru</v>
      </c>
    </row>
    <row r="11" spans="1:16" x14ac:dyDescent="0.25">
      <c r="A11" s="40" t="s">
        <v>21</v>
      </c>
      <c r="B11" s="40" t="s">
        <v>179</v>
      </c>
      <c r="C11" s="40" t="s">
        <v>13</v>
      </c>
      <c r="D11" s="40">
        <v>62000</v>
      </c>
      <c r="E11" s="40" t="s">
        <v>190</v>
      </c>
      <c r="I11" s="40" t="s">
        <v>19</v>
      </c>
      <c r="J11" s="40" t="str">
        <f t="shared" si="0"/>
        <v>SNEHA</v>
      </c>
      <c r="L11" s="40" t="s">
        <v>13</v>
      </c>
      <c r="M11" s="40">
        <f t="shared" si="1"/>
        <v>62000</v>
      </c>
      <c r="O11" s="40" t="s">
        <v>19</v>
      </c>
      <c r="P11" s="40" t="str">
        <f t="shared" si="2"/>
        <v>Jaipur</v>
      </c>
    </row>
    <row r="12" spans="1:16" x14ac:dyDescent="0.25">
      <c r="A12" s="40" t="s">
        <v>22</v>
      </c>
      <c r="B12" s="40" t="s">
        <v>180</v>
      </c>
      <c r="C12" s="40" t="s">
        <v>18</v>
      </c>
      <c r="D12" s="40">
        <v>53000</v>
      </c>
      <c r="E12" s="40" t="s">
        <v>191</v>
      </c>
      <c r="I12" s="40" t="s">
        <v>20</v>
      </c>
      <c r="J12" s="40" t="str">
        <f t="shared" si="0"/>
        <v>ARJUN</v>
      </c>
      <c r="L12" s="40" t="s">
        <v>13</v>
      </c>
      <c r="M12" s="40">
        <f t="shared" si="1"/>
        <v>62000</v>
      </c>
      <c r="O12" s="40" t="s">
        <v>20</v>
      </c>
      <c r="P12" s="40" t="str">
        <f t="shared" si="2"/>
        <v>Hyderabad</v>
      </c>
    </row>
    <row r="13" spans="1:16" x14ac:dyDescent="0.25">
      <c r="A13" s="40" t="s">
        <v>23</v>
      </c>
      <c r="B13" s="40" t="s">
        <v>181</v>
      </c>
      <c r="C13" s="40" t="s">
        <v>10</v>
      </c>
      <c r="D13" s="40">
        <v>70000</v>
      </c>
      <c r="E13" s="40" t="s">
        <v>192</v>
      </c>
      <c r="I13" s="40" t="s">
        <v>21</v>
      </c>
      <c r="J13" s="40" t="str">
        <f t="shared" si="0"/>
        <v>MEERA</v>
      </c>
      <c r="L13" s="40" t="s">
        <v>182</v>
      </c>
      <c r="M13" s="40">
        <f t="shared" si="1"/>
        <v>58000</v>
      </c>
      <c r="O13" s="40" t="s">
        <v>21</v>
      </c>
      <c r="P13" s="40" t="str">
        <f t="shared" si="2"/>
        <v>Chennai</v>
      </c>
    </row>
    <row r="14" spans="1:16" x14ac:dyDescent="0.25">
      <c r="I14" s="40" t="s">
        <v>22</v>
      </c>
      <c r="J14" s="40" t="str">
        <f t="shared" si="0"/>
        <v>VIKRAM</v>
      </c>
      <c r="O14" s="40" t="s">
        <v>22</v>
      </c>
      <c r="P14" s="40" t="str">
        <f t="shared" si="2"/>
        <v>Kolkata</v>
      </c>
    </row>
    <row r="15" spans="1:16" x14ac:dyDescent="0.25">
      <c r="I15" s="40" t="s">
        <v>23</v>
      </c>
      <c r="J15" s="40" t="str">
        <f t="shared" si="0"/>
        <v>RIYA</v>
      </c>
      <c r="O15" s="40" t="s">
        <v>23</v>
      </c>
      <c r="P15" s="40" t="str">
        <f t="shared" si="2"/>
        <v>Surat</v>
      </c>
    </row>
    <row r="19" spans="1:23" x14ac:dyDescent="0.25">
      <c r="A19" t="s">
        <v>196</v>
      </c>
      <c r="B19" t="s">
        <v>198</v>
      </c>
      <c r="C19" t="s">
        <v>197</v>
      </c>
      <c r="I19" t="s">
        <v>196</v>
      </c>
      <c r="J19" t="s">
        <v>197</v>
      </c>
      <c r="M19" s="40" t="s">
        <v>168</v>
      </c>
      <c r="N19" s="40" t="s">
        <v>5</v>
      </c>
      <c r="O19" s="40" t="s">
        <v>8</v>
      </c>
      <c r="P19" s="40" t="s">
        <v>11</v>
      </c>
      <c r="Q19" s="40" t="s">
        <v>14</v>
      </c>
      <c r="R19" s="40" t="s">
        <v>16</v>
      </c>
      <c r="S19" s="40" t="s">
        <v>19</v>
      </c>
      <c r="T19" s="40" t="s">
        <v>20</v>
      </c>
      <c r="U19" s="40" t="s">
        <v>21</v>
      </c>
      <c r="V19" s="40" t="s">
        <v>22</v>
      </c>
      <c r="W19" s="40" t="s">
        <v>23</v>
      </c>
    </row>
    <row r="20" spans="1:23" x14ac:dyDescent="0.25">
      <c r="A20" t="s">
        <v>5</v>
      </c>
      <c r="B20" t="str" cm="1">
        <f t="array" ref="B20:C20">_xlfn.XLOOKUP(A20,A4:A13,C4:D13,"INVALID")</f>
        <v>HR</v>
      </c>
      <c r="C20">
        <v>45000</v>
      </c>
      <c r="I20" t="s">
        <v>19</v>
      </c>
      <c r="J20">
        <f>VLOOKUP($I$20,$A$2:$E$13,4,0)</f>
        <v>47000</v>
      </c>
      <c r="M20" s="40" t="s">
        <v>1</v>
      </c>
      <c r="N20" s="40" t="s">
        <v>172</v>
      </c>
      <c r="O20" s="40" t="s">
        <v>173</v>
      </c>
      <c r="P20" s="40" t="s">
        <v>174</v>
      </c>
      <c r="Q20" s="40" t="s">
        <v>175</v>
      </c>
      <c r="R20" s="40" t="s">
        <v>176</v>
      </c>
      <c r="S20" s="40" t="s">
        <v>177</v>
      </c>
      <c r="T20" s="40" t="s">
        <v>178</v>
      </c>
      <c r="U20" s="40" t="s">
        <v>179</v>
      </c>
      <c r="V20" s="40" t="s">
        <v>180</v>
      </c>
      <c r="W20" s="40" t="s">
        <v>181</v>
      </c>
    </row>
    <row r="21" spans="1:23" x14ac:dyDescent="0.25">
      <c r="A21" t="s">
        <v>8</v>
      </c>
      <c r="B21" t="str" cm="1">
        <f t="array" ref="B21:C21">_xlfn.XLOOKUP(A21,A5:A14,C5:D14,"INVALID")</f>
        <v>IT</v>
      </c>
      <c r="C21">
        <v>60000</v>
      </c>
      <c r="M21" s="40" t="s">
        <v>169</v>
      </c>
      <c r="N21" s="40" t="s">
        <v>7</v>
      </c>
      <c r="O21" s="40" t="s">
        <v>10</v>
      </c>
      <c r="P21" s="40" t="s">
        <v>13</v>
      </c>
      <c r="Q21" s="40" t="s">
        <v>18</v>
      </c>
      <c r="R21" s="40" t="s">
        <v>10</v>
      </c>
      <c r="S21" s="40" t="s">
        <v>7</v>
      </c>
      <c r="T21" s="40" t="s">
        <v>182</v>
      </c>
      <c r="U21" s="40" t="s">
        <v>13</v>
      </c>
      <c r="V21" s="40" t="s">
        <v>18</v>
      </c>
      <c r="W21" s="40" t="s">
        <v>10</v>
      </c>
    </row>
    <row r="22" spans="1:23" x14ac:dyDescent="0.25">
      <c r="A22" t="s">
        <v>11</v>
      </c>
      <c r="B22" t="str" cm="1">
        <f t="array" ref="B22:C22">_xlfn.XLOOKUP(A22,A6:A15,C6:D15,"INVALID")</f>
        <v>Finance</v>
      </c>
      <c r="C22">
        <v>55000</v>
      </c>
      <c r="M22" s="40" t="s">
        <v>170</v>
      </c>
      <c r="N22" s="40">
        <v>45000</v>
      </c>
      <c r="O22" s="40">
        <v>60000</v>
      </c>
      <c r="P22" s="40">
        <v>55000</v>
      </c>
      <c r="Q22" s="40">
        <v>50000</v>
      </c>
      <c r="R22" s="40">
        <v>65000</v>
      </c>
      <c r="S22" s="40">
        <v>47000</v>
      </c>
      <c r="T22" s="40">
        <v>58000</v>
      </c>
      <c r="U22" s="40">
        <v>62000</v>
      </c>
      <c r="V22" s="40">
        <v>53000</v>
      </c>
      <c r="W22" s="40">
        <v>70000</v>
      </c>
    </row>
    <row r="23" spans="1:23" x14ac:dyDescent="0.25">
      <c r="A23" t="s">
        <v>14</v>
      </c>
      <c r="B23" t="str" cm="1">
        <f t="array" ref="B23:C23">_xlfn.XLOOKUP(A23,A7:A16,C7:D16,"INVALID")</f>
        <v>Sales</v>
      </c>
      <c r="C23">
        <v>50000</v>
      </c>
      <c r="M23" s="40" t="s">
        <v>171</v>
      </c>
      <c r="N23" s="40" t="s">
        <v>183</v>
      </c>
      <c r="O23" s="40" t="s">
        <v>184</v>
      </c>
      <c r="P23" s="40" t="s">
        <v>185</v>
      </c>
      <c r="Q23" s="40" t="s">
        <v>186</v>
      </c>
      <c r="R23" s="40" t="s">
        <v>187</v>
      </c>
      <c r="S23" s="40" t="s">
        <v>188</v>
      </c>
      <c r="T23" s="40" t="s">
        <v>189</v>
      </c>
      <c r="U23" s="40" t="s">
        <v>190</v>
      </c>
      <c r="V23" s="40" t="s">
        <v>191</v>
      </c>
      <c r="W23" s="40" t="s">
        <v>192</v>
      </c>
    </row>
    <row r="24" spans="1:23" x14ac:dyDescent="0.25">
      <c r="A24" t="s">
        <v>16</v>
      </c>
      <c r="B24" t="str" cm="1">
        <f t="array" ref="B24:C24">_xlfn.XLOOKUP(A24,A8:A17,C8:D17,"INVALID")</f>
        <v>IT</v>
      </c>
      <c r="C24">
        <v>65000</v>
      </c>
    </row>
    <row r="25" spans="1:23" x14ac:dyDescent="0.25">
      <c r="A25" t="s">
        <v>19</v>
      </c>
      <c r="B25" t="str" cm="1">
        <f t="array" ref="B25:C25">_xlfn.XLOOKUP(A25,A9:A18,C9:D18,"INVALID")</f>
        <v>HR</v>
      </c>
      <c r="C25">
        <v>47000</v>
      </c>
    </row>
  </sheetData>
  <phoneticPr fontId="2" type="noConversion"/>
  <dataValidations count="1">
    <dataValidation type="list" allowBlank="1" showInputMessage="1" showErrorMessage="1" sqref="I20" xr:uid="{E94A6146-CDE8-4084-9E57-BB8055FF2882}">
      <formula1>$A$3:$A$13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E702-3263-4717-8B3A-517B07B603E7}">
  <dimension ref="A1:X36"/>
  <sheetViews>
    <sheetView tabSelected="1" topLeftCell="A18" zoomScale="90" zoomScaleNormal="90" workbookViewId="0">
      <selection activeCell="L25" sqref="L25"/>
    </sheetView>
  </sheetViews>
  <sheetFormatPr defaultRowHeight="15" x14ac:dyDescent="0.25"/>
  <cols>
    <col min="1" max="1" width="17" customWidth="1"/>
    <col min="2" max="2" width="14" customWidth="1"/>
    <col min="3" max="3" width="14.42578125" customWidth="1"/>
    <col min="4" max="4" width="11.140625" customWidth="1"/>
    <col min="5" max="5" width="19.5703125" customWidth="1"/>
    <col min="6" max="6" width="13.85546875" customWidth="1"/>
    <col min="7" max="7" width="13.7109375" customWidth="1"/>
    <col min="8" max="8" width="19.140625" customWidth="1"/>
    <col min="9" max="9" width="13.42578125" customWidth="1"/>
    <col min="10" max="10" width="10.42578125" customWidth="1"/>
    <col min="11" max="11" width="18.7109375" customWidth="1"/>
    <col min="12" max="12" width="13.85546875" customWidth="1"/>
    <col min="13" max="13" width="18.7109375" customWidth="1"/>
    <col min="14" max="14" width="18" customWidth="1"/>
    <col min="15" max="15" width="11" customWidth="1"/>
    <col min="17" max="17" width="11.140625" customWidth="1"/>
    <col min="18" max="18" width="10.5703125" customWidth="1"/>
    <col min="21" max="21" width="12.85546875" customWidth="1"/>
    <col min="24" max="24" width="13.7109375" customWidth="1"/>
  </cols>
  <sheetData>
    <row r="1" spans="1:24" ht="15.75" x14ac:dyDescent="0.25">
      <c r="A1" t="s">
        <v>199</v>
      </c>
    </row>
    <row r="2" spans="1:24" ht="15.75" thickBot="1" x14ac:dyDescent="0.3"/>
    <row r="3" spans="1:24" ht="35.25" thickBot="1" x14ac:dyDescent="0.3">
      <c r="A3" s="48" t="s">
        <v>211</v>
      </c>
      <c r="B3" s="43" t="s">
        <v>1</v>
      </c>
      <c r="C3" s="43" t="s">
        <v>2</v>
      </c>
      <c r="D3" s="43" t="s">
        <v>200</v>
      </c>
      <c r="E3" s="42" t="s">
        <v>3</v>
      </c>
      <c r="F3" s="42" t="s">
        <v>201</v>
      </c>
      <c r="H3" s="40" t="s">
        <v>212</v>
      </c>
      <c r="I3" s="40" t="s">
        <v>213</v>
      </c>
      <c r="K3" s="40" t="s">
        <v>214</v>
      </c>
      <c r="L3" s="40" t="s">
        <v>215</v>
      </c>
      <c r="N3" s="40" t="s">
        <v>216</v>
      </c>
      <c r="O3" s="40" t="s">
        <v>197</v>
      </c>
      <c r="Q3" s="40" t="s">
        <v>196</v>
      </c>
      <c r="R3" s="40" t="s">
        <v>217</v>
      </c>
      <c r="T3" s="40" t="s">
        <v>196</v>
      </c>
      <c r="U3" s="40" t="s">
        <v>215</v>
      </c>
      <c r="W3" s="40" t="s">
        <v>218</v>
      </c>
      <c r="X3" s="40" t="s">
        <v>219</v>
      </c>
    </row>
    <row r="4" spans="1:24" ht="52.5" thickBot="1" x14ac:dyDescent="0.3">
      <c r="A4" s="44" t="s">
        <v>5</v>
      </c>
      <c r="B4" s="45" t="s">
        <v>202</v>
      </c>
      <c r="C4" s="45" t="s">
        <v>18</v>
      </c>
      <c r="D4" s="45" t="s">
        <v>184</v>
      </c>
      <c r="E4" s="44">
        <v>45000</v>
      </c>
      <c r="F4" s="44">
        <v>2019</v>
      </c>
      <c r="H4" s="40" t="s">
        <v>5</v>
      </c>
      <c r="I4" s="40" t="str">
        <f>VLOOKUP(H4,A4:F11,2,0)</f>
        <v>Rahul Sharma</v>
      </c>
      <c r="K4" s="40" t="s">
        <v>16</v>
      </c>
      <c r="L4" s="40" t="str">
        <f>VLOOKUP(K4,A4:F11,3,0)</f>
        <v>Marketing</v>
      </c>
      <c r="N4" s="40" t="s">
        <v>206</v>
      </c>
      <c r="O4" s="40">
        <f>VLOOKUP(N4,B4:F11,4,0)</f>
        <v>58000</v>
      </c>
      <c r="Q4" s="40" t="s">
        <v>20</v>
      </c>
      <c r="R4" s="40" t="str">
        <f>VLOOKUP(Q4,A4:F11,4,0)</f>
        <v>Hyderabad</v>
      </c>
      <c r="T4" s="40" t="s">
        <v>22</v>
      </c>
      <c r="U4" s="40" t="str">
        <f>IFERROR(VLOOKUP(T4,A4:C11,3,0),"INVALID")</f>
        <v>INVALID</v>
      </c>
      <c r="W4" s="40" t="s">
        <v>11</v>
      </c>
      <c r="X4" s="40">
        <f>VLOOKUP(W4,A4:F11,6,0)</f>
        <v>2020</v>
      </c>
    </row>
    <row r="5" spans="1:24" ht="52.5" thickBot="1" x14ac:dyDescent="0.3">
      <c r="A5" s="46" t="s">
        <v>8</v>
      </c>
      <c r="B5" s="47" t="s">
        <v>203</v>
      </c>
      <c r="C5" s="47" t="s">
        <v>7</v>
      </c>
      <c r="D5" s="47" t="s">
        <v>185</v>
      </c>
      <c r="E5" s="46">
        <v>52000</v>
      </c>
      <c r="F5" s="46">
        <v>2018</v>
      </c>
      <c r="H5" s="40" t="s">
        <v>8</v>
      </c>
      <c r="I5" s="40" t="str">
        <f t="shared" ref="I5:I8" si="0">VLOOKUP(H5,A5:F12,2,0)</f>
        <v>Ananya Gupta</v>
      </c>
    </row>
    <row r="6" spans="1:24" ht="35.25" thickBot="1" x14ac:dyDescent="0.3">
      <c r="A6" s="44" t="s">
        <v>11</v>
      </c>
      <c r="B6" s="45" t="s">
        <v>204</v>
      </c>
      <c r="C6" s="45" t="s">
        <v>10</v>
      </c>
      <c r="D6" s="45" t="s">
        <v>205</v>
      </c>
      <c r="E6" s="44">
        <v>65000</v>
      </c>
      <c r="F6" s="44">
        <v>2020</v>
      </c>
      <c r="H6" s="40" t="s">
        <v>11</v>
      </c>
      <c r="I6" s="40" t="str">
        <f t="shared" si="0"/>
        <v>Rohit Verma</v>
      </c>
    </row>
    <row r="7" spans="1:24" ht="35.25" thickBot="1" x14ac:dyDescent="0.3">
      <c r="A7" s="46" t="s">
        <v>14</v>
      </c>
      <c r="B7" s="47" t="s">
        <v>206</v>
      </c>
      <c r="C7" s="47" t="s">
        <v>13</v>
      </c>
      <c r="D7" s="47" t="s">
        <v>186</v>
      </c>
      <c r="E7" s="46">
        <v>58000</v>
      </c>
      <c r="F7" s="46">
        <v>2017</v>
      </c>
      <c r="H7" s="40" t="s">
        <v>14</v>
      </c>
      <c r="I7" s="40" t="str">
        <f t="shared" si="0"/>
        <v>Neha Singh</v>
      </c>
    </row>
    <row r="8" spans="1:24" ht="35.25" thickBot="1" x14ac:dyDescent="0.3">
      <c r="A8" s="44" t="s">
        <v>16</v>
      </c>
      <c r="B8" s="45" t="s">
        <v>207</v>
      </c>
      <c r="C8" s="45" t="s">
        <v>182</v>
      </c>
      <c r="D8" s="45" t="s">
        <v>184</v>
      </c>
      <c r="E8" s="44">
        <v>48000</v>
      </c>
      <c r="F8" s="44">
        <v>2021</v>
      </c>
      <c r="H8" s="40" t="s">
        <v>16</v>
      </c>
      <c r="I8" s="40" t="str">
        <f t="shared" si="0"/>
        <v>Aman Kumar</v>
      </c>
    </row>
    <row r="9" spans="1:24" ht="35.25" thickBot="1" x14ac:dyDescent="0.3">
      <c r="A9" s="46" t="s">
        <v>19</v>
      </c>
      <c r="B9" s="47" t="s">
        <v>208</v>
      </c>
      <c r="C9" s="47" t="s">
        <v>10</v>
      </c>
      <c r="D9" s="47" t="s">
        <v>190</v>
      </c>
      <c r="E9" s="46">
        <v>62000</v>
      </c>
      <c r="F9" s="46">
        <v>2019</v>
      </c>
    </row>
    <row r="10" spans="1:24" ht="35.25" thickBot="1" x14ac:dyDescent="0.3">
      <c r="A10" s="44" t="s">
        <v>20</v>
      </c>
      <c r="B10" s="45" t="s">
        <v>209</v>
      </c>
      <c r="C10" s="45" t="s">
        <v>18</v>
      </c>
      <c r="D10" s="45" t="s">
        <v>189</v>
      </c>
      <c r="E10" s="44">
        <v>47000</v>
      </c>
      <c r="F10" s="44">
        <v>2020</v>
      </c>
    </row>
    <row r="11" spans="1:24" ht="35.25" thickBot="1" x14ac:dyDescent="0.3">
      <c r="A11" s="46" t="s">
        <v>21</v>
      </c>
      <c r="B11" s="47" t="s">
        <v>210</v>
      </c>
      <c r="C11" s="47" t="s">
        <v>7</v>
      </c>
      <c r="D11" s="47" t="s">
        <v>205</v>
      </c>
      <c r="E11" s="46">
        <v>54000</v>
      </c>
      <c r="F11" s="46">
        <v>2016</v>
      </c>
      <c r="O11" t="s">
        <v>94</v>
      </c>
    </row>
    <row r="15" spans="1:24" ht="51.75" x14ac:dyDescent="0.25">
      <c r="A15" s="52" t="s">
        <v>196</v>
      </c>
      <c r="B15" s="53" t="s">
        <v>197</v>
      </c>
      <c r="C15" s="50"/>
      <c r="D15" s="53" t="s">
        <v>196</v>
      </c>
      <c r="E15" s="53" t="s">
        <v>222</v>
      </c>
      <c r="F15" s="50"/>
      <c r="G15" s="53" t="s">
        <v>216</v>
      </c>
      <c r="H15" s="53" t="s">
        <v>223</v>
      </c>
      <c r="J15" s="53" t="s">
        <v>168</v>
      </c>
      <c r="K15" s="53" t="s">
        <v>169</v>
      </c>
      <c r="M15" s="53" t="s">
        <v>198</v>
      </c>
      <c r="N15" s="53" t="s">
        <v>221</v>
      </c>
    </row>
    <row r="16" spans="1:24" ht="17.25" x14ac:dyDescent="0.25">
      <c r="A16" s="54" t="s">
        <v>14</v>
      </c>
      <c r="B16" s="55">
        <f>_xlfn.XLOOKUP(A16,A4:A11,E4:E11,"INVALID")</f>
        <v>58000</v>
      </c>
      <c r="C16" s="51"/>
      <c r="D16" s="55" t="s">
        <v>5</v>
      </c>
      <c r="E16" s="55" t="str">
        <f>_xlfn.XLOOKUP(D16,A4:A11,C4:C11,"INVALID")</f>
        <v>Sales</v>
      </c>
      <c r="F16" s="51"/>
      <c r="G16" s="40" t="s">
        <v>209</v>
      </c>
      <c r="H16" s="40" t="str">
        <f>_xlfn.XLOOKUP(G16,B4:B11,D4:D11,"INVALID")</f>
        <v>Hyderabad</v>
      </c>
      <c r="J16" s="40" t="s">
        <v>224</v>
      </c>
      <c r="K16" s="40" t="str">
        <f>_xlfn.XLOOKUP(J16,A4:A11,C4:C11,"employee not found")</f>
        <v>employee not found</v>
      </c>
      <c r="M16" s="40" t="s">
        <v>225</v>
      </c>
      <c r="N16" s="40">
        <f>_xlfn.XLOOKUP(M16,A19:F19,A20:F20,"INVALID")</f>
        <v>0.15</v>
      </c>
    </row>
    <row r="18" spans="1:15" ht="15.75" thickBot="1" x14ac:dyDescent="0.3"/>
    <row r="19" spans="1:15" ht="35.25" thickBot="1" x14ac:dyDescent="0.3">
      <c r="A19" s="43" t="s">
        <v>2</v>
      </c>
      <c r="B19" s="42" t="s">
        <v>18</v>
      </c>
      <c r="C19" s="42" t="s">
        <v>7</v>
      </c>
      <c r="D19" s="42" t="s">
        <v>10</v>
      </c>
      <c r="E19" s="42" t="s">
        <v>13</v>
      </c>
      <c r="F19" s="42" t="s">
        <v>182</v>
      </c>
      <c r="H19" s="56" t="s">
        <v>215</v>
      </c>
      <c r="I19" s="56" t="s">
        <v>221</v>
      </c>
      <c r="K19" s="57" t="s">
        <v>218</v>
      </c>
      <c r="L19" s="57" t="s">
        <v>226</v>
      </c>
      <c r="N19" s="57" t="s">
        <v>222</v>
      </c>
      <c r="O19" s="57" t="s">
        <v>221</v>
      </c>
    </row>
    <row r="20" spans="1:15" ht="18" thickBot="1" x14ac:dyDescent="0.3">
      <c r="A20" s="45" t="s">
        <v>220</v>
      </c>
      <c r="B20" s="49">
        <v>0.1</v>
      </c>
      <c r="C20" s="49">
        <v>0.08</v>
      </c>
      <c r="D20" s="49">
        <v>0.12</v>
      </c>
      <c r="E20" s="49">
        <v>0.15</v>
      </c>
      <c r="F20" s="49">
        <v>0.09</v>
      </c>
      <c r="H20" s="40" t="s">
        <v>225</v>
      </c>
      <c r="I20" s="40">
        <f>HLOOKUP(H20,A19:F20,2,0)</f>
        <v>0.15</v>
      </c>
      <c r="K20" t="s">
        <v>20</v>
      </c>
      <c r="L20" t="e">
        <f>HLOOKUP($K$20,$A$31:$I$36,5,0)*HLOOKUP($K$20,$A$19:$F$20,2,0)</f>
        <v>#N/A</v>
      </c>
      <c r="N20" t="s">
        <v>227</v>
      </c>
      <c r="O20" t="str">
        <f>IFERROR(HLOOKUP(N20,A19:F20,2,0),"INVALID")</f>
        <v>INVALID</v>
      </c>
    </row>
    <row r="21" spans="1:15" x14ac:dyDescent="0.25">
      <c r="H21" s="40" t="s">
        <v>10</v>
      </c>
      <c r="I21" s="40">
        <f>HLOOKUP(H21,A19:F20,2,0)</f>
        <v>0.12</v>
      </c>
    </row>
    <row r="25" spans="1:15" x14ac:dyDescent="0.25">
      <c r="K25" t="s">
        <v>5</v>
      </c>
      <c r="L25">
        <f>HLOOKUP(K25,A31:I36,5,0) * HLOOKUP(HLOOKUP(K25,A31:I36,3,0),A19:F20,2,0)</f>
        <v>4500</v>
      </c>
    </row>
    <row r="26" spans="1:15" x14ac:dyDescent="0.25">
      <c r="K26" t="s">
        <v>8</v>
      </c>
    </row>
    <row r="27" spans="1:15" x14ac:dyDescent="0.25">
      <c r="K27" t="s">
        <v>11</v>
      </c>
    </row>
    <row r="28" spans="1:15" x14ac:dyDescent="0.25">
      <c r="K28" t="s">
        <v>14</v>
      </c>
    </row>
    <row r="30" spans="1:15" ht="15.75" thickBot="1" x14ac:dyDescent="0.3"/>
    <row r="31" spans="1:15" ht="18" thickBot="1" x14ac:dyDescent="0.3">
      <c r="A31" s="48" t="s">
        <v>211</v>
      </c>
      <c r="B31" s="44" t="s">
        <v>5</v>
      </c>
      <c r="C31" s="46" t="s">
        <v>8</v>
      </c>
      <c r="D31" s="44" t="s">
        <v>11</v>
      </c>
      <c r="E31" s="46" t="s">
        <v>14</v>
      </c>
      <c r="F31" s="44" t="s">
        <v>16</v>
      </c>
      <c r="G31" s="46" t="s">
        <v>19</v>
      </c>
      <c r="H31" s="44" t="s">
        <v>20</v>
      </c>
      <c r="I31" s="46" t="s">
        <v>21</v>
      </c>
    </row>
    <row r="32" spans="1:15" ht="35.25" thickBot="1" x14ac:dyDescent="0.3">
      <c r="A32" s="43" t="s">
        <v>1</v>
      </c>
      <c r="B32" s="45" t="s">
        <v>202</v>
      </c>
      <c r="C32" s="47" t="s">
        <v>203</v>
      </c>
      <c r="D32" s="45" t="s">
        <v>204</v>
      </c>
      <c r="E32" s="47" t="s">
        <v>206</v>
      </c>
      <c r="F32" s="45" t="s">
        <v>207</v>
      </c>
      <c r="G32" s="47" t="s">
        <v>208</v>
      </c>
      <c r="H32" s="45" t="s">
        <v>209</v>
      </c>
      <c r="I32" s="47" t="s">
        <v>210</v>
      </c>
    </row>
    <row r="33" spans="1:9" ht="18" thickBot="1" x14ac:dyDescent="0.3">
      <c r="A33" s="43" t="s">
        <v>2</v>
      </c>
      <c r="B33" s="45" t="s">
        <v>18</v>
      </c>
      <c r="C33" s="47" t="s">
        <v>7</v>
      </c>
      <c r="D33" s="45" t="s">
        <v>10</v>
      </c>
      <c r="E33" s="47" t="s">
        <v>13</v>
      </c>
      <c r="F33" s="45" t="s">
        <v>182</v>
      </c>
      <c r="G33" s="47" t="s">
        <v>10</v>
      </c>
      <c r="H33" s="45" t="s">
        <v>18</v>
      </c>
      <c r="I33" s="47" t="s">
        <v>7</v>
      </c>
    </row>
    <row r="34" spans="1:9" ht="35.25" thickBot="1" x14ac:dyDescent="0.3">
      <c r="A34" s="43" t="s">
        <v>200</v>
      </c>
      <c r="B34" s="45" t="s">
        <v>184</v>
      </c>
      <c r="C34" s="47" t="s">
        <v>185</v>
      </c>
      <c r="D34" s="45" t="s">
        <v>205</v>
      </c>
      <c r="E34" s="47" t="s">
        <v>186</v>
      </c>
      <c r="F34" s="45" t="s">
        <v>184</v>
      </c>
      <c r="G34" s="47" t="s">
        <v>190</v>
      </c>
      <c r="H34" s="45" t="s">
        <v>189</v>
      </c>
      <c r="I34" s="47" t="s">
        <v>205</v>
      </c>
    </row>
    <row r="35" spans="1:9" ht="18" thickBot="1" x14ac:dyDescent="0.3">
      <c r="A35" s="42" t="s">
        <v>3</v>
      </c>
      <c r="B35" s="44">
        <v>45000</v>
      </c>
      <c r="C35" s="46">
        <v>52000</v>
      </c>
      <c r="D35" s="44">
        <v>65000</v>
      </c>
      <c r="E35" s="46">
        <v>58000</v>
      </c>
      <c r="F35" s="44">
        <v>48000</v>
      </c>
      <c r="G35" s="46">
        <v>62000</v>
      </c>
      <c r="H35" s="44">
        <v>47000</v>
      </c>
      <c r="I35" s="46">
        <v>54000</v>
      </c>
    </row>
    <row r="36" spans="1:9" ht="18" thickBot="1" x14ac:dyDescent="0.3">
      <c r="A36" s="42" t="s">
        <v>201</v>
      </c>
      <c r="B36" s="44">
        <v>2019</v>
      </c>
      <c r="C36" s="46">
        <v>2018</v>
      </c>
      <c r="D36" s="44">
        <v>2020</v>
      </c>
      <c r="E36" s="46">
        <v>2017</v>
      </c>
      <c r="F36" s="44">
        <v>2021</v>
      </c>
      <c r="G36" s="46">
        <v>2019</v>
      </c>
      <c r="H36" s="44">
        <v>2020</v>
      </c>
      <c r="I36" s="46">
        <v>2016</v>
      </c>
    </row>
  </sheetData>
  <phoneticPr fontId="2" type="noConversion"/>
  <dataValidations count="2">
    <dataValidation type="list" allowBlank="1" showInputMessage="1" showErrorMessage="1" sqref="K4" xr:uid="{479C76FC-C9D2-4F9F-BEE5-425EE0AF680C}">
      <formula1>$A$4:$A$11</formula1>
    </dataValidation>
    <dataValidation type="list" allowBlank="1" showInputMessage="1" showErrorMessage="1" sqref="N4 G16" xr:uid="{A2EE9D08-9395-46F1-9196-5F9FDC6F309B}">
      <formula1>$B$4:$B$11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5C9E-76BE-406A-A335-E76B8E67F472}">
  <dimension ref="A1:G5"/>
  <sheetViews>
    <sheetView workbookViewId="0">
      <selection activeCell="G1" sqref="G1"/>
    </sheetView>
  </sheetViews>
  <sheetFormatPr defaultRowHeight="15" x14ac:dyDescent="0.25"/>
  <cols>
    <col min="1" max="1" width="11" bestFit="1" customWidth="1"/>
    <col min="2" max="2" width="12.140625" bestFit="1" customWidth="1"/>
    <col min="3" max="3" width="12" bestFit="1" customWidth="1"/>
    <col min="4" max="4" width="6.5703125" bestFit="1" customWidth="1"/>
    <col min="5" max="5" width="14.42578125" style="4" bestFit="1" customWidth="1"/>
    <col min="6" max="6" width="12.140625" bestFit="1" customWidth="1"/>
    <col min="7" max="7" width="11.42578125" customWidth="1"/>
  </cols>
  <sheetData>
    <row r="1" spans="1:7" ht="51.75" x14ac:dyDescent="0.25">
      <c r="A1" s="58" t="s">
        <v>112</v>
      </c>
      <c r="B1" s="58" t="s">
        <v>228</v>
      </c>
      <c r="C1" s="58" t="s">
        <v>106</v>
      </c>
      <c r="D1" s="59" t="s">
        <v>229</v>
      </c>
      <c r="E1" s="61" t="s">
        <v>230</v>
      </c>
      <c r="F1" s="58" t="s">
        <v>155</v>
      </c>
      <c r="G1" s="63" t="s">
        <v>240</v>
      </c>
    </row>
    <row r="2" spans="1:7" ht="17.25" x14ac:dyDescent="0.25">
      <c r="A2" s="54" t="s">
        <v>113</v>
      </c>
      <c r="B2" s="54" t="s">
        <v>231</v>
      </c>
      <c r="C2" s="54" t="s">
        <v>109</v>
      </c>
      <c r="D2" s="60">
        <v>2</v>
      </c>
      <c r="E2" s="62">
        <v>45000</v>
      </c>
      <c r="F2" s="54" t="s">
        <v>232</v>
      </c>
      <c r="G2">
        <f>PRODUCT(D2,E2)</f>
        <v>90000</v>
      </c>
    </row>
    <row r="3" spans="1:7" ht="17.25" x14ac:dyDescent="0.25">
      <c r="A3" s="54" t="s">
        <v>114</v>
      </c>
      <c r="B3" s="54" t="s">
        <v>233</v>
      </c>
      <c r="C3" s="54" t="s">
        <v>234</v>
      </c>
      <c r="D3" s="60">
        <v>5</v>
      </c>
      <c r="E3" s="62">
        <v>700</v>
      </c>
      <c r="F3" s="54" t="s">
        <v>235</v>
      </c>
      <c r="G3">
        <f t="shared" ref="G3:G5" si="0">PRODUCT(D3,E3)</f>
        <v>3500</v>
      </c>
    </row>
    <row r="4" spans="1:7" ht="17.25" x14ac:dyDescent="0.25">
      <c r="A4" s="54" t="s">
        <v>115</v>
      </c>
      <c r="B4" s="54" t="s">
        <v>236</v>
      </c>
      <c r="C4" s="54" t="s">
        <v>110</v>
      </c>
      <c r="D4" s="60">
        <v>3</v>
      </c>
      <c r="E4" s="62">
        <v>1500</v>
      </c>
      <c r="F4" s="54" t="s">
        <v>232</v>
      </c>
      <c r="G4">
        <f t="shared" si="0"/>
        <v>4500</v>
      </c>
    </row>
    <row r="5" spans="1:7" ht="17.25" x14ac:dyDescent="0.25">
      <c r="A5" s="54" t="s">
        <v>116</v>
      </c>
      <c r="B5" s="54" t="s">
        <v>237</v>
      </c>
      <c r="C5" s="54" t="s">
        <v>238</v>
      </c>
      <c r="D5" s="60">
        <v>1</v>
      </c>
      <c r="E5" s="62">
        <v>18000</v>
      </c>
      <c r="F5" s="54" t="s">
        <v>239</v>
      </c>
      <c r="G5">
        <f t="shared" si="0"/>
        <v>18000</v>
      </c>
    </row>
  </sheetData>
  <conditionalFormatting sqref="F1:F1048576">
    <cfRule type="containsText" dxfId="2" priority="2" operator="containsText" text="CANCELLED">
      <formula>NOT(ISERROR(SEARCH("CANCELLED",F1)))</formula>
    </cfRule>
  </conditionalFormatting>
  <conditionalFormatting sqref="G1:G1048576">
    <cfRule type="cellIs" dxfId="0" priority="1" operator="greaterThan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Administrator</cp:lastModifiedBy>
  <cp:lastPrinted>2026-07-05T09:35:47Z</cp:lastPrinted>
  <dcterms:created xsi:type="dcterms:W3CDTF">2026-07-04T08:23:41Z</dcterms:created>
  <dcterms:modified xsi:type="dcterms:W3CDTF">2026-07-12T09:54:48Z</dcterms:modified>
</cp:coreProperties>
</file>