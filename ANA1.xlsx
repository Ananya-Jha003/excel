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istrator\Desktop\ANANYA\"/>
    </mc:Choice>
  </mc:AlternateContent>
  <xr:revisionPtr revIDLastSave="0" documentId="13_ncr:1_{8405A367-F82E-4ED4-97FA-42D2011F3304}" xr6:coauthVersionLast="47" xr6:coauthVersionMax="47" xr10:uidLastSave="{00000000-0000-0000-0000-000000000000}"/>
  <bookViews>
    <workbookView xWindow="-120" yWindow="-120" windowWidth="20730" windowHeight="11040" activeTab="4" xr2:uid="{DE367E80-5B2A-4982-BA95-76C2E82431EC}"/>
  </bookViews>
  <sheets>
    <sheet name="Sheet1" sheetId="1" r:id="rId1"/>
    <sheet name="Sheet2" sheetId="2" r:id="rId2"/>
    <sheet name="Sheet3" sheetId="3" r:id="rId3"/>
    <sheet name="Sheet4" sheetId="5" r:id="rId4"/>
    <sheet name="Sheet5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20" i="6" l="1"/>
  <c r="S21" i="6"/>
  <c r="S22" i="6"/>
  <c r="S19" i="6"/>
  <c r="N20" i="6"/>
  <c r="N21" i="6"/>
  <c r="N22" i="6"/>
  <c r="N19" i="6"/>
  <c r="F20" i="6"/>
  <c r="F21" i="6"/>
  <c r="F22" i="6"/>
  <c r="F19" i="6"/>
  <c r="R12" i="6"/>
  <c r="R13" i="6"/>
  <c r="R14" i="6"/>
  <c r="R11" i="6"/>
  <c r="L12" i="6"/>
  <c r="L13" i="6"/>
  <c r="L14" i="6"/>
  <c r="L11" i="6"/>
  <c r="F11" i="6" a="1"/>
  <c r="S3" i="6"/>
  <c r="S4" i="6"/>
  <c r="S5" i="6"/>
  <c r="S2" i="6"/>
  <c r="M3" i="6"/>
  <c r="M4" i="6"/>
  <c r="M5" i="6"/>
  <c r="M6" i="6"/>
  <c r="M2" i="6"/>
  <c r="I3" i="6"/>
  <c r="I4" i="6"/>
  <c r="I5" i="6"/>
  <c r="I2" i="6"/>
  <c r="D3" i="6"/>
  <c r="D4" i="6"/>
  <c r="D5" i="6"/>
  <c r="D6" i="6"/>
  <c r="D2" i="6"/>
  <c r="Q5" i="5"/>
  <c r="Q4" i="5"/>
  <c r="Q11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" i="3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<sst xmlns="http://schemas.openxmlformats.org/spreadsheetml/2006/main" count="426" uniqueCount="167">
  <si>
    <t>Employee ID</t>
  </si>
  <si>
    <t>Name</t>
  </si>
  <si>
    <t>Department</t>
  </si>
  <si>
    <t>Salary</t>
  </si>
  <si>
    <t>Joining Date</t>
  </si>
  <si>
    <t>E101</t>
  </si>
  <si>
    <t>Amit Sharma</t>
  </si>
  <si>
    <t>HR</t>
  </si>
  <si>
    <t>E102</t>
  </si>
  <si>
    <t>Neha Verma</t>
  </si>
  <si>
    <t>IT</t>
  </si>
  <si>
    <t>E103</t>
  </si>
  <si>
    <t>Rahul Mehta</t>
  </si>
  <si>
    <t>Finance</t>
  </si>
  <si>
    <t>E104</t>
  </si>
  <si>
    <t>Pooja Singh</t>
  </si>
  <si>
    <t>E105</t>
  </si>
  <si>
    <t>Ankit Patel</t>
  </si>
  <si>
    <t>Sales</t>
  </si>
  <si>
    <t>E106</t>
  </si>
  <si>
    <t>E107</t>
  </si>
  <si>
    <t>E108</t>
  </si>
  <si>
    <t>E109</t>
  </si>
  <si>
    <t>E110</t>
  </si>
  <si>
    <t>E111</t>
  </si>
  <si>
    <t>E112</t>
  </si>
  <si>
    <t>E113</t>
  </si>
  <si>
    <t>E114</t>
  </si>
  <si>
    <t>E115</t>
  </si>
  <si>
    <t>E116</t>
  </si>
  <si>
    <t>E117</t>
  </si>
  <si>
    <t>E118</t>
  </si>
  <si>
    <t>E119</t>
  </si>
  <si>
    <t>E120</t>
  </si>
  <si>
    <t xml:space="preserve"> 12-01-2022</t>
  </si>
  <si>
    <t xml:space="preserve"> 05-03-2021</t>
  </si>
  <si>
    <t xml:space="preserve"> 18-07-2020</t>
  </si>
  <si>
    <t xml:space="preserve"> 10-11-2019</t>
  </si>
  <si>
    <t xml:space="preserve"> 25-06-2023</t>
  </si>
  <si>
    <t xml:space="preserve"> 12-01-2023</t>
  </si>
  <si>
    <t xml:space="preserve"> 05-03-2022</t>
  </si>
  <si>
    <t xml:space="preserve"> 18-07-2021</t>
  </si>
  <si>
    <t xml:space="preserve"> 10-11-2020</t>
  </si>
  <si>
    <t xml:space="preserve"> 25-06-2024</t>
  </si>
  <si>
    <t xml:space="preserve"> 12-01-2024</t>
  </si>
  <si>
    <t xml:space="preserve"> 05-03-2023</t>
  </si>
  <si>
    <t xml:space="preserve"> 18-07-2022</t>
  </si>
  <si>
    <t xml:space="preserve"> 10-11-2021</t>
  </si>
  <si>
    <t xml:space="preserve"> 25-06-2025</t>
  </si>
  <si>
    <t xml:space="preserve"> 12-01-2025</t>
  </si>
  <si>
    <t xml:space="preserve"> 05-03-2024</t>
  </si>
  <si>
    <t xml:space="preserve"> 18-07-2023</t>
  </si>
  <si>
    <t xml:space="preserve"> 10-11-2022</t>
  </si>
  <si>
    <t xml:space="preserve"> 25-06-2026</t>
  </si>
  <si>
    <t>Product Name</t>
  </si>
  <si>
    <t>Region</t>
  </si>
  <si>
    <t>Sales Amount</t>
  </si>
  <si>
    <t>Salesperson</t>
  </si>
  <si>
    <t>Laptop Dell Inspiron 15</t>
  </si>
  <si>
    <t>North</t>
  </si>
  <si>
    <t>Ramesh</t>
  </si>
  <si>
    <t>HP Wireless Mouse</t>
  </si>
  <si>
    <t>West</t>
  </si>
  <si>
    <t>Sneha</t>
  </si>
  <si>
    <t>Samsung 24-inch Monitor</t>
  </si>
  <si>
    <t>East</t>
  </si>
  <si>
    <t>Arjun</t>
  </si>
  <si>
    <t>Lenovo ThinkPad E14 Laptop</t>
  </si>
  <si>
    <t>South</t>
  </si>
  <si>
    <t>Kavita</t>
  </si>
  <si>
    <t>Laptop Dell Inspiron 16</t>
  </si>
  <si>
    <t>Laptop Dell Inspiron 17</t>
  </si>
  <si>
    <t>Laptop Dell Inspiron 18</t>
  </si>
  <si>
    <t>Laptop Dell Inspiron 19</t>
  </si>
  <si>
    <t xml:space="preserve"> Monthly Sales Report</t>
  </si>
  <si>
    <t>Roll No</t>
  </si>
  <si>
    <t>Student Name</t>
  </si>
  <si>
    <t>Maths</t>
  </si>
  <si>
    <t>Science</t>
  </si>
  <si>
    <t>English</t>
  </si>
  <si>
    <t>Percentage</t>
  </si>
  <si>
    <t>Aakash</t>
  </si>
  <si>
    <t>Bhavya</t>
  </si>
  <si>
    <t>Chirag</t>
  </si>
  <si>
    <t>Divya</t>
  </si>
  <si>
    <t>Esha</t>
  </si>
  <si>
    <t>Employee Name</t>
  </si>
  <si>
    <t>Suresh</t>
  </si>
  <si>
    <t>Meena</t>
  </si>
  <si>
    <t>Karan</t>
  </si>
  <si>
    <t>Ritu</t>
  </si>
  <si>
    <t>Aman</t>
  </si>
  <si>
    <t>Neel</t>
  </si>
  <si>
    <t xml:space="preserve"> HR</t>
  </si>
  <si>
    <t xml:space="preserve"> </t>
  </si>
  <si>
    <t xml:space="preserve"> =sum(U5:U11)</t>
  </si>
  <si>
    <t>Rohit</t>
  </si>
  <si>
    <t>Simran</t>
  </si>
  <si>
    <t>Vijay</t>
  </si>
  <si>
    <t>Nisha</t>
  </si>
  <si>
    <t>Mohan</t>
  </si>
  <si>
    <t>Marks</t>
  </si>
  <si>
    <t>Bharti</t>
  </si>
  <si>
    <t>Chetan</t>
  </si>
  <si>
    <t>Deepa</t>
  </si>
  <si>
    <t>Farhan</t>
  </si>
  <si>
    <t>Product</t>
  </si>
  <si>
    <t>Mobile</t>
  </si>
  <si>
    <t>Headphones</t>
  </si>
  <si>
    <t>Laptop</t>
  </si>
  <si>
    <t>Keyboard</t>
  </si>
  <si>
    <t>Tablet</t>
  </si>
  <si>
    <t>Order ID</t>
  </si>
  <si>
    <t>O101</t>
  </si>
  <si>
    <t>O102</t>
  </si>
  <si>
    <t>O103</t>
  </si>
  <si>
    <t>O104</t>
  </si>
  <si>
    <t>O105</t>
  </si>
  <si>
    <t>O106</t>
  </si>
  <si>
    <t>O107</t>
  </si>
  <si>
    <t>O108</t>
  </si>
  <si>
    <t>O109</t>
  </si>
  <si>
    <t>O110</t>
  </si>
  <si>
    <t>O111</t>
  </si>
  <si>
    <t>O112</t>
  </si>
  <si>
    <t>O113</t>
  </si>
  <si>
    <t>O114</t>
  </si>
  <si>
    <t>O115</t>
  </si>
  <si>
    <t>O116</t>
  </si>
  <si>
    <t>O117</t>
  </si>
  <si>
    <t>O118</t>
  </si>
  <si>
    <t>O119</t>
  </si>
  <si>
    <t>O120</t>
  </si>
  <si>
    <t>count(greater than 10000</t>
  </si>
  <si>
    <t>count(below 5000)</t>
  </si>
  <si>
    <t>Result</t>
  </si>
  <si>
    <t>Rohan</t>
  </si>
  <si>
    <t>Bonus Status</t>
  </si>
  <si>
    <t>Grade</t>
  </si>
  <si>
    <t>Age</t>
  </si>
  <si>
    <t>Experience (Years)</t>
  </si>
  <si>
    <t>Eligible</t>
  </si>
  <si>
    <t>Attendance %</t>
  </si>
  <si>
    <t>Assignment Submitted</t>
  </si>
  <si>
    <t>Yes</t>
  </si>
  <si>
    <t>No</t>
  </si>
  <si>
    <t>Customer Name</t>
  </si>
  <si>
    <t>Purchase Amount</t>
  </si>
  <si>
    <t>Membership</t>
  </si>
  <si>
    <t>Discount</t>
  </si>
  <si>
    <t>Bhavna</t>
  </si>
  <si>
    <t>Applicant</t>
  </si>
  <si>
    <t>CIBIL Score</t>
  </si>
  <si>
    <t>Loan Status</t>
  </si>
  <si>
    <t>Present</t>
  </si>
  <si>
    <t>Status</t>
  </si>
  <si>
    <t>Number 1</t>
  </si>
  <si>
    <t>Number 2</t>
  </si>
  <si>
    <t>Targets Achieved</t>
  </si>
  <si>
    <t>Performance</t>
  </si>
  <si>
    <t>Raj</t>
  </si>
  <si>
    <t>Sunita</t>
  </si>
  <si>
    <t>Manoj</t>
  </si>
  <si>
    <t>Task</t>
  </si>
  <si>
    <t>Attendance ≥ 90 AND Targets ≥ 40 → Excellent</t>
  </si>
  <si>
    <t>Attendance ≥ 80 → Good</t>
  </si>
  <si>
    <t>Else → Needs Improvement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</si>
</sst>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 &quot;₹&quot;\ * #,##0.00_ ;_ &quot;₹&quot;\ * \-#,##0.00_ ;_ &quot;₹&quot;\ * &quot;-&quot;??_ ;_ @_ "/>
    <numFmt numFmtId="164" formatCode="&quot;₹&quot;\ #,##0.00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5" tint="0.79998168889431442"/>
      <name val="Calibri"/>
      <family val="2"/>
      <scheme val="minor"/>
    </font>
    <font>
      <sz val="12"/>
      <color theme="1"/>
      <name val="Segoe UI"/>
      <family val="2"/>
    </font>
    <font>
      <sz val="12"/>
      <color theme="1"/>
      <name val="Segoe UI"/>
      <family val="2"/>
    </font>
    <font>
      <b/>
      <sz val="13"/>
      <color theme="3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2"/>
      <color rgb="FFFFFFFF"/>
      <name val="Segoe UI"/>
      <family val="2"/>
    </font>
    <font>
      <sz val="12"/>
      <color theme="1"/>
      <name val="Segoe UI"/>
      <family val="2"/>
    </font>
    <font>
      <sz val="11"/>
      <color theme="1"/>
      <name val="Calibri"/>
      <family val="2"/>
      <scheme val="minor"/>
    </font>
    <font>
      <sz val="13.75"/>
      <color rgb="FFFFFFFF"/>
      <name val="Segoe UI"/>
      <family val="2"/>
    </font>
  </fonts>
  <fills count="5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20">
    <border>
      <left/>
      <right/>
      <top/>
      <bottom/>
      <diagonal/>
    </border>
    <border>
      <left style="medium">
        <color rgb="FFB7BDC8"/>
      </left>
      <right style="medium">
        <color rgb="FFB7BDC8"/>
      </right>
      <top style="medium">
        <color rgb="FFB7BDC8"/>
      </top>
      <bottom style="medium">
        <color rgb="FFB7BDC8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rgb="FFB7BDC8"/>
      </bottom>
      <diagonal/>
    </border>
    <border>
      <left style="medium">
        <color indexed="64"/>
      </left>
      <right/>
      <top style="medium">
        <color indexed="64"/>
      </top>
      <bottom style="thick">
        <color theme="4" tint="0.499984740745262"/>
      </bottom>
      <diagonal/>
    </border>
    <border>
      <left/>
      <right/>
      <top style="medium">
        <color indexed="64"/>
      </top>
      <bottom style="thick">
        <color theme="4" tint="0.499984740745262"/>
      </bottom>
      <diagonal/>
    </border>
    <border>
      <left/>
      <right style="medium">
        <color indexed="64"/>
      </right>
      <top style="medium">
        <color indexed="64"/>
      </top>
      <bottom style="thick">
        <color theme="4" tint="0.499984740745262"/>
      </bottom>
      <diagonal/>
    </border>
    <border>
      <left style="medium">
        <color indexed="64"/>
      </left>
      <right style="medium">
        <color rgb="FFB7BDC8"/>
      </right>
      <top style="medium">
        <color rgb="FFB7BDC8"/>
      </top>
      <bottom style="medium">
        <color rgb="FFB7BDC8"/>
      </bottom>
      <diagonal/>
    </border>
    <border>
      <left style="medium">
        <color rgb="FFB7BDC8"/>
      </left>
      <right style="medium">
        <color indexed="64"/>
      </right>
      <top style="medium">
        <color rgb="FFB7BDC8"/>
      </top>
      <bottom style="medium">
        <color rgb="FFB7BDC8"/>
      </bottom>
      <diagonal/>
    </border>
    <border>
      <left style="medium">
        <color indexed="64"/>
      </left>
      <right style="medium">
        <color rgb="FFB7BDC8"/>
      </right>
      <top style="medium">
        <color rgb="FFB7BDC8"/>
      </top>
      <bottom style="medium">
        <color indexed="64"/>
      </bottom>
      <diagonal/>
    </border>
    <border>
      <left style="medium">
        <color rgb="FFB7BDC8"/>
      </left>
      <right style="medium">
        <color rgb="FFB7BDC8"/>
      </right>
      <top style="medium">
        <color rgb="FFB7BDC8"/>
      </top>
      <bottom style="medium">
        <color indexed="64"/>
      </bottom>
      <diagonal/>
    </border>
    <border>
      <left style="medium">
        <color rgb="FFB7BDC8"/>
      </left>
      <right style="medium">
        <color indexed="64"/>
      </right>
      <top style="medium">
        <color rgb="FFB7BDC8"/>
      </top>
      <bottom style="medium">
        <color indexed="64"/>
      </bottom>
      <diagonal/>
    </border>
  </borders>
  <cellStyleXfs count="2">
    <xf numFmtId="0" fontId="0" fillId="0" borderId="0"/>
    <xf numFmtId="0" fontId="6" fillId="0" borderId="10" applyNumberFormat="0" applyFill="0" applyAlignment="0" applyProtection="0"/>
  </cellStyleXfs>
  <cellXfs count="41">
    <xf numFmtId="0" fontId="0" fillId="0" borderId="0" xfId="0"/>
    <xf numFmtId="14" fontId="0" fillId="0" borderId="0" xfId="0" applyNumberFormat="1"/>
    <xf numFmtId="0" fontId="1" fillId="2" borderId="0" xfId="0" applyFont="1" applyFill="1"/>
    <xf numFmtId="0" fontId="3" fillId="2" borderId="0" xfId="0" applyFont="1" applyFill="1"/>
    <xf numFmtId="164" fontId="0" fillId="0" borderId="0" xfId="0" applyNumberFormat="1"/>
    <xf numFmtId="0" fontId="1" fillId="2" borderId="2" xfId="0" applyFont="1" applyFill="1" applyBorder="1"/>
    <xf numFmtId="0" fontId="1" fillId="2" borderId="3" xfId="0" applyFont="1" applyFill="1" applyBorder="1"/>
    <xf numFmtId="164" fontId="1" fillId="2" borderId="3" xfId="0" applyNumberFormat="1" applyFont="1" applyFill="1" applyBorder="1" applyAlignment="1">
      <alignment horizontal="right"/>
    </xf>
    <xf numFmtId="14" fontId="1" fillId="2" borderId="4" xfId="0" applyNumberFormat="1" applyFont="1" applyFill="1" applyBorder="1" applyAlignment="1">
      <alignment horizontal="right"/>
    </xf>
    <xf numFmtId="0" fontId="0" fillId="3" borderId="5" xfId="0" applyFill="1" applyBorder="1"/>
    <xf numFmtId="14" fontId="0" fillId="0" borderId="6" xfId="0" applyNumberFormat="1" applyBorder="1"/>
    <xf numFmtId="0" fontId="0" fillId="3" borderId="7" xfId="0" applyFill="1" applyBorder="1"/>
    <xf numFmtId="0" fontId="0" fillId="0" borderId="8" xfId="0" applyBorder="1"/>
    <xf numFmtId="164" fontId="0" fillId="0" borderId="8" xfId="0" applyNumberFormat="1" applyBorder="1"/>
    <xf numFmtId="14" fontId="0" fillId="0" borderId="9" xfId="0" applyNumberFormat="1" applyBorder="1"/>
    <xf numFmtId="0" fontId="4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left" vertical="center" wrapText="1" indent="1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44" fontId="4" fillId="3" borderId="1" xfId="0" applyNumberFormat="1" applyFont="1" applyFill="1" applyBorder="1" applyAlignment="1">
      <alignment horizontal="center" vertical="center" wrapText="1"/>
    </xf>
    <xf numFmtId="44" fontId="0" fillId="0" borderId="0" xfId="0" applyNumberFormat="1"/>
    <xf numFmtId="10" fontId="0" fillId="0" borderId="0" xfId="0" applyNumberFormat="1"/>
    <xf numFmtId="0" fontId="6" fillId="3" borderId="12" xfId="1" applyFill="1" applyBorder="1" applyAlignment="1">
      <alignment horizontal="center" vertical="center" wrapText="1"/>
    </xf>
    <xf numFmtId="0" fontId="6" fillId="3" borderId="13" xfId="1" applyFill="1" applyBorder="1" applyAlignment="1">
      <alignment horizontal="center" vertical="center" wrapText="1"/>
    </xf>
    <xf numFmtId="10" fontId="6" fillId="3" borderId="14" xfId="1" applyNumberFormat="1" applyFill="1" applyBorder="1" applyAlignment="1">
      <alignment horizontal="center" vertical="center" wrapText="1"/>
    </xf>
    <xf numFmtId="0" fontId="5" fillId="3" borderId="15" xfId="0" applyFont="1" applyFill="1" applyBorder="1" applyAlignment="1">
      <alignment horizontal="left" vertical="center" wrapText="1" indent="1"/>
    </xf>
    <xf numFmtId="10" fontId="5" fillId="3" borderId="16" xfId="0" applyNumberFormat="1" applyFont="1" applyFill="1" applyBorder="1" applyAlignment="1">
      <alignment horizontal="left" vertical="center" wrapText="1" indent="1"/>
    </xf>
    <xf numFmtId="0" fontId="5" fillId="3" borderId="17" xfId="0" applyFont="1" applyFill="1" applyBorder="1" applyAlignment="1">
      <alignment horizontal="left" vertical="center" wrapText="1" indent="1"/>
    </xf>
    <xf numFmtId="0" fontId="5" fillId="3" borderId="18" xfId="0" applyFont="1" applyFill="1" applyBorder="1" applyAlignment="1">
      <alignment horizontal="left" vertical="center" wrapText="1" indent="1"/>
    </xf>
    <xf numFmtId="10" fontId="5" fillId="3" borderId="19" xfId="0" applyNumberFormat="1" applyFont="1" applyFill="1" applyBorder="1" applyAlignment="1">
      <alignment horizontal="left" vertical="center" wrapText="1" indent="1"/>
    </xf>
    <xf numFmtId="0" fontId="4" fillId="4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left" vertical="center" wrapText="1" indent="1"/>
    </xf>
    <xf numFmtId="0" fontId="7" fillId="0" borderId="11" xfId="0" applyFont="1" applyBorder="1" applyAlignment="1">
      <alignment horizontal="center"/>
    </xf>
    <xf numFmtId="0" fontId="9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left" vertical="center" wrapText="1" indent="1"/>
    </xf>
    <xf numFmtId="0" fontId="0" fillId="3" borderId="0" xfId="0" applyFill="1"/>
    <xf numFmtId="0" fontId="0" fillId="3" borderId="0" xfId="0" applyFont="1" applyFill="1"/>
    <xf numFmtId="0" fontId="10" fillId="3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left" vertical="center" wrapText="1" indent="1"/>
    </xf>
    <xf numFmtId="0" fontId="11" fillId="3" borderId="0" xfId="0" applyFont="1" applyFill="1" applyAlignment="1">
      <alignment vertical="center" wrapText="1"/>
    </xf>
    <xf numFmtId="0" fontId="8" fillId="3" borderId="0" xfId="0" applyFont="1" applyFill="1" applyAlignment="1">
      <alignment horizontal="left" vertical="center" wrapText="1" indent="1"/>
    </xf>
  </cellXfs>
  <cellStyles count="2">
    <cellStyle name="Heading 2" xfId="1" builtinId="17"/>
    <cellStyle name="Normal" xfId="0" builtinId="0"/>
  </cellStyles>
  <dxfs count="7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6A5ACD-D30A-4D89-8485-118D0A02CD13}">
  <dimension ref="A1:E21"/>
  <sheetViews>
    <sheetView zoomScale="130" zoomScaleNormal="130" workbookViewId="0">
      <selection activeCell="J10" sqref="J10"/>
    </sheetView>
  </sheetViews>
  <sheetFormatPr defaultRowHeight="15" x14ac:dyDescent="0.25"/>
  <cols>
    <col min="1" max="1" width="12.140625" style="3" bestFit="1" customWidth="1"/>
    <col min="2" max="2" width="12.28515625" bestFit="1" customWidth="1"/>
    <col min="3" max="3" width="11.7109375" bestFit="1" customWidth="1"/>
    <col min="4" max="4" width="11.28515625" style="4" bestFit="1" customWidth="1"/>
    <col min="5" max="5" width="11.85546875" style="1" bestFit="1" customWidth="1"/>
  </cols>
  <sheetData>
    <row r="1" spans="1:5" s="2" customFormat="1" x14ac:dyDescent="0.25">
      <c r="A1" s="5" t="s">
        <v>0</v>
      </c>
      <c r="B1" s="6" t="s">
        <v>1</v>
      </c>
      <c r="C1" s="6" t="s">
        <v>2</v>
      </c>
      <c r="D1" s="7" t="s">
        <v>3</v>
      </c>
      <c r="E1" s="8" t="s">
        <v>4</v>
      </c>
    </row>
    <row r="2" spans="1:5" x14ac:dyDescent="0.25">
      <c r="A2" s="9" t="s">
        <v>5</v>
      </c>
      <c r="B2" t="s">
        <v>6</v>
      </c>
      <c r="C2" t="s">
        <v>7</v>
      </c>
      <c r="D2" s="4">
        <v>32000</v>
      </c>
      <c r="E2" s="10" t="s">
        <v>34</v>
      </c>
    </row>
    <row r="3" spans="1:5" x14ac:dyDescent="0.25">
      <c r="A3" s="9" t="s">
        <v>8</v>
      </c>
      <c r="B3" t="s">
        <v>9</v>
      </c>
      <c r="C3" t="s">
        <v>10</v>
      </c>
      <c r="D3" s="4">
        <v>45000</v>
      </c>
      <c r="E3" s="10" t="s">
        <v>35</v>
      </c>
    </row>
    <row r="4" spans="1:5" x14ac:dyDescent="0.25">
      <c r="A4" s="9" t="s">
        <v>11</v>
      </c>
      <c r="B4" t="s">
        <v>12</v>
      </c>
      <c r="C4" t="s">
        <v>13</v>
      </c>
      <c r="D4" s="4">
        <v>38000</v>
      </c>
      <c r="E4" s="10" t="s">
        <v>36</v>
      </c>
    </row>
    <row r="5" spans="1:5" x14ac:dyDescent="0.25">
      <c r="A5" s="9" t="s">
        <v>14</v>
      </c>
      <c r="B5" t="s">
        <v>15</v>
      </c>
      <c r="C5" t="s">
        <v>10</v>
      </c>
      <c r="D5" s="4">
        <v>52000</v>
      </c>
      <c r="E5" s="10" t="s">
        <v>37</v>
      </c>
    </row>
    <row r="6" spans="1:5" x14ac:dyDescent="0.25">
      <c r="A6" s="9" t="s">
        <v>16</v>
      </c>
      <c r="B6" t="s">
        <v>17</v>
      </c>
      <c r="C6" t="s">
        <v>18</v>
      </c>
      <c r="D6" s="4">
        <v>30000</v>
      </c>
      <c r="E6" s="10" t="s">
        <v>38</v>
      </c>
    </row>
    <row r="7" spans="1:5" x14ac:dyDescent="0.25">
      <c r="A7" s="9" t="s">
        <v>19</v>
      </c>
      <c r="B7" t="s">
        <v>6</v>
      </c>
      <c r="C7" t="s">
        <v>7</v>
      </c>
      <c r="D7" s="4">
        <f ca="1">RANDBETWEEN(25000,65000)</f>
        <v>44527</v>
      </c>
      <c r="E7" s="10" t="s">
        <v>39</v>
      </c>
    </row>
    <row r="8" spans="1:5" x14ac:dyDescent="0.25">
      <c r="A8" s="9" t="s">
        <v>20</v>
      </c>
      <c r="B8" t="s">
        <v>9</v>
      </c>
      <c r="C8" t="s">
        <v>10</v>
      </c>
      <c r="D8" s="4">
        <f t="shared" ref="D8:D21" ca="1" si="0">RANDBETWEEN(25000,65000)</f>
        <v>61626</v>
      </c>
      <c r="E8" s="10" t="s">
        <v>40</v>
      </c>
    </row>
    <row r="9" spans="1:5" x14ac:dyDescent="0.25">
      <c r="A9" s="9" t="s">
        <v>21</v>
      </c>
      <c r="B9" t="s">
        <v>12</v>
      </c>
      <c r="C9" t="s">
        <v>13</v>
      </c>
      <c r="D9" s="4">
        <f t="shared" ca="1" si="0"/>
        <v>33042</v>
      </c>
      <c r="E9" s="10" t="s">
        <v>41</v>
      </c>
    </row>
    <row r="10" spans="1:5" x14ac:dyDescent="0.25">
      <c r="A10" s="9" t="s">
        <v>22</v>
      </c>
      <c r="B10" t="s">
        <v>15</v>
      </c>
      <c r="C10" t="s">
        <v>10</v>
      </c>
      <c r="D10" s="4">
        <f t="shared" ca="1" si="0"/>
        <v>43073</v>
      </c>
      <c r="E10" s="10" t="s">
        <v>42</v>
      </c>
    </row>
    <row r="11" spans="1:5" x14ac:dyDescent="0.25">
      <c r="A11" s="9" t="s">
        <v>23</v>
      </c>
      <c r="B11" t="s">
        <v>17</v>
      </c>
      <c r="C11" t="s">
        <v>18</v>
      </c>
      <c r="D11" s="4">
        <f t="shared" ca="1" si="0"/>
        <v>64397</v>
      </c>
      <c r="E11" s="10" t="s">
        <v>43</v>
      </c>
    </row>
    <row r="12" spans="1:5" x14ac:dyDescent="0.25">
      <c r="A12" s="9" t="s">
        <v>24</v>
      </c>
      <c r="B12" t="s">
        <v>6</v>
      </c>
      <c r="C12" t="s">
        <v>7</v>
      </c>
      <c r="D12" s="4">
        <f t="shared" ca="1" si="0"/>
        <v>58503</v>
      </c>
      <c r="E12" s="10" t="s">
        <v>44</v>
      </c>
    </row>
    <row r="13" spans="1:5" x14ac:dyDescent="0.25">
      <c r="A13" s="9" t="s">
        <v>25</v>
      </c>
      <c r="B13" t="s">
        <v>9</v>
      </c>
      <c r="C13" t="s">
        <v>10</v>
      </c>
      <c r="D13" s="4">
        <f t="shared" ca="1" si="0"/>
        <v>53303</v>
      </c>
      <c r="E13" s="10" t="s">
        <v>45</v>
      </c>
    </row>
    <row r="14" spans="1:5" x14ac:dyDescent="0.25">
      <c r="A14" s="9" t="s">
        <v>26</v>
      </c>
      <c r="B14" t="s">
        <v>12</v>
      </c>
      <c r="C14" t="s">
        <v>13</v>
      </c>
      <c r="D14" s="4">
        <f t="shared" ca="1" si="0"/>
        <v>52901</v>
      </c>
      <c r="E14" s="10" t="s">
        <v>46</v>
      </c>
    </row>
    <row r="15" spans="1:5" x14ac:dyDescent="0.25">
      <c r="A15" s="9" t="s">
        <v>27</v>
      </c>
      <c r="B15" t="s">
        <v>15</v>
      </c>
      <c r="C15" t="s">
        <v>10</v>
      </c>
      <c r="D15" s="4">
        <f t="shared" ca="1" si="0"/>
        <v>26161</v>
      </c>
      <c r="E15" s="10" t="s">
        <v>47</v>
      </c>
    </row>
    <row r="16" spans="1:5" x14ac:dyDescent="0.25">
      <c r="A16" s="9" t="s">
        <v>28</v>
      </c>
      <c r="B16" t="s">
        <v>17</v>
      </c>
      <c r="C16" t="s">
        <v>18</v>
      </c>
      <c r="D16" s="4">
        <f t="shared" ca="1" si="0"/>
        <v>41327</v>
      </c>
      <c r="E16" s="10" t="s">
        <v>48</v>
      </c>
    </row>
    <row r="17" spans="1:5" x14ac:dyDescent="0.25">
      <c r="A17" s="9" t="s">
        <v>29</v>
      </c>
      <c r="B17" t="s">
        <v>6</v>
      </c>
      <c r="C17" t="s">
        <v>7</v>
      </c>
      <c r="D17" s="4">
        <f t="shared" ca="1" si="0"/>
        <v>26112</v>
      </c>
      <c r="E17" s="10" t="s">
        <v>49</v>
      </c>
    </row>
    <row r="18" spans="1:5" x14ac:dyDescent="0.25">
      <c r="A18" s="9" t="s">
        <v>30</v>
      </c>
      <c r="B18" t="s">
        <v>9</v>
      </c>
      <c r="C18" t="s">
        <v>10</v>
      </c>
      <c r="D18" s="4">
        <f t="shared" ca="1" si="0"/>
        <v>30077</v>
      </c>
      <c r="E18" s="10" t="s">
        <v>50</v>
      </c>
    </row>
    <row r="19" spans="1:5" x14ac:dyDescent="0.25">
      <c r="A19" s="9" t="s">
        <v>31</v>
      </c>
      <c r="B19" t="s">
        <v>12</v>
      </c>
      <c r="C19" t="s">
        <v>13</v>
      </c>
      <c r="D19" s="4">
        <f t="shared" ca="1" si="0"/>
        <v>53421</v>
      </c>
      <c r="E19" s="10" t="s">
        <v>51</v>
      </c>
    </row>
    <row r="20" spans="1:5" x14ac:dyDescent="0.25">
      <c r="A20" s="9" t="s">
        <v>32</v>
      </c>
      <c r="B20" t="s">
        <v>15</v>
      </c>
      <c r="C20" t="s">
        <v>10</v>
      </c>
      <c r="D20" s="4">
        <f t="shared" ca="1" si="0"/>
        <v>62984</v>
      </c>
      <c r="E20" s="10" t="s">
        <v>52</v>
      </c>
    </row>
    <row r="21" spans="1:5" ht="15.75" thickBot="1" x14ac:dyDescent="0.3">
      <c r="A21" s="11" t="s">
        <v>33</v>
      </c>
      <c r="B21" s="12" t="s">
        <v>17</v>
      </c>
      <c r="C21" s="12" t="s">
        <v>18</v>
      </c>
      <c r="D21" s="13">
        <f t="shared" ca="1" si="0"/>
        <v>60534</v>
      </c>
      <c r="E21" s="14" t="s">
        <v>53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7DAA3-E8AD-43FE-A5DA-A15BBF3126BB}">
  <dimension ref="A1:D22"/>
  <sheetViews>
    <sheetView zoomScale="90" zoomScaleNormal="90" workbookViewId="0">
      <selection activeCell="F10" sqref="F10"/>
    </sheetView>
  </sheetViews>
  <sheetFormatPr defaultRowHeight="15" x14ac:dyDescent="0.25"/>
  <cols>
    <col min="1" max="1" width="28.5703125" customWidth="1"/>
    <col min="2" max="2" width="10.85546875" customWidth="1"/>
    <col min="3" max="3" width="16.5703125" style="20" customWidth="1"/>
    <col min="4" max="4" width="15.7109375" customWidth="1"/>
  </cols>
  <sheetData>
    <row r="1" spans="1:4" ht="24" thickBot="1" x14ac:dyDescent="0.4">
      <c r="A1" s="32" t="s">
        <v>74</v>
      </c>
      <c r="B1" s="32"/>
      <c r="C1" s="32"/>
      <c r="D1" s="32"/>
    </row>
    <row r="2" spans="1:4" ht="35.25" thickBot="1" x14ac:dyDescent="0.3">
      <c r="A2" s="17" t="s">
        <v>54</v>
      </c>
      <c r="B2" s="15" t="s">
        <v>55</v>
      </c>
      <c r="C2" s="19" t="s">
        <v>56</v>
      </c>
      <c r="D2" s="15" t="s">
        <v>57</v>
      </c>
    </row>
    <row r="3" spans="1:4" ht="18" thickBot="1" x14ac:dyDescent="0.3">
      <c r="A3" s="18" t="s">
        <v>58</v>
      </c>
      <c r="B3" s="16" t="s">
        <v>59</v>
      </c>
      <c r="C3" s="20">
        <v>45000</v>
      </c>
      <c r="D3" s="16" t="s">
        <v>60</v>
      </c>
    </row>
    <row r="4" spans="1:4" ht="18" thickBot="1" x14ac:dyDescent="0.3">
      <c r="A4" s="18" t="s">
        <v>61</v>
      </c>
      <c r="B4" s="16" t="s">
        <v>62</v>
      </c>
      <c r="C4" s="20">
        <v>1200</v>
      </c>
      <c r="D4" s="16" t="s">
        <v>63</v>
      </c>
    </row>
    <row r="5" spans="1:4" ht="18" thickBot="1" x14ac:dyDescent="0.3">
      <c r="A5" s="18" t="s">
        <v>64</v>
      </c>
      <c r="B5" s="16" t="s">
        <v>65</v>
      </c>
      <c r="C5" s="20">
        <v>18000</v>
      </c>
      <c r="D5" s="16" t="s">
        <v>66</v>
      </c>
    </row>
    <row r="6" spans="1:4" ht="18" thickBot="1" x14ac:dyDescent="0.3">
      <c r="A6" s="18" t="s">
        <v>67</v>
      </c>
      <c r="B6" s="16" t="s">
        <v>68</v>
      </c>
      <c r="C6" s="20">
        <v>62000</v>
      </c>
      <c r="D6" s="16" t="s">
        <v>69</v>
      </c>
    </row>
    <row r="7" spans="1:4" ht="18" thickBot="1" x14ac:dyDescent="0.3">
      <c r="A7" s="18" t="s">
        <v>70</v>
      </c>
      <c r="B7" s="16" t="s">
        <v>59</v>
      </c>
      <c r="C7" s="20">
        <v>9113</v>
      </c>
      <c r="D7" s="16" t="s">
        <v>60</v>
      </c>
    </row>
    <row r="8" spans="1:4" ht="18" thickBot="1" x14ac:dyDescent="0.3">
      <c r="A8" s="18" t="s">
        <v>61</v>
      </c>
      <c r="B8" s="16" t="s">
        <v>62</v>
      </c>
      <c r="C8" s="20">
        <v>2071</v>
      </c>
      <c r="D8" s="16" t="s">
        <v>63</v>
      </c>
    </row>
    <row r="9" spans="1:4" ht="18" thickBot="1" x14ac:dyDescent="0.3">
      <c r="A9" s="18" t="s">
        <v>64</v>
      </c>
      <c r="B9" s="16" t="s">
        <v>65</v>
      </c>
      <c r="C9" s="20">
        <v>2683</v>
      </c>
      <c r="D9" s="16" t="s">
        <v>66</v>
      </c>
    </row>
    <row r="10" spans="1:4" ht="18" thickBot="1" x14ac:dyDescent="0.3">
      <c r="A10" s="18" t="s">
        <v>67</v>
      </c>
      <c r="B10" s="16" t="s">
        <v>68</v>
      </c>
      <c r="C10" s="20">
        <v>2221</v>
      </c>
      <c r="D10" s="16" t="s">
        <v>69</v>
      </c>
    </row>
    <row r="11" spans="1:4" ht="18" thickBot="1" x14ac:dyDescent="0.3">
      <c r="A11" s="18" t="s">
        <v>71</v>
      </c>
      <c r="B11" s="16" t="s">
        <v>59</v>
      </c>
      <c r="C11" s="20">
        <v>7764</v>
      </c>
      <c r="D11" s="16" t="s">
        <v>60</v>
      </c>
    </row>
    <row r="12" spans="1:4" ht="18" thickBot="1" x14ac:dyDescent="0.3">
      <c r="A12" s="18" t="s">
        <v>61</v>
      </c>
      <c r="B12" s="16" t="s">
        <v>62</v>
      </c>
      <c r="C12" s="20">
        <v>3657</v>
      </c>
      <c r="D12" s="16" t="s">
        <v>63</v>
      </c>
    </row>
    <row r="13" spans="1:4" ht="18" thickBot="1" x14ac:dyDescent="0.3">
      <c r="A13" s="18" t="s">
        <v>64</v>
      </c>
      <c r="B13" s="16" t="s">
        <v>65</v>
      </c>
      <c r="C13" s="20">
        <v>9261</v>
      </c>
      <c r="D13" s="16" t="s">
        <v>66</v>
      </c>
    </row>
    <row r="14" spans="1:4" ht="18" thickBot="1" x14ac:dyDescent="0.3">
      <c r="A14" s="18" t="s">
        <v>67</v>
      </c>
      <c r="B14" s="16" t="s">
        <v>68</v>
      </c>
      <c r="C14" s="20">
        <v>2721</v>
      </c>
      <c r="D14" s="16" t="s">
        <v>69</v>
      </c>
    </row>
    <row r="15" spans="1:4" ht="18" thickBot="1" x14ac:dyDescent="0.3">
      <c r="A15" s="18" t="s">
        <v>72</v>
      </c>
      <c r="B15" s="16" t="s">
        <v>59</v>
      </c>
      <c r="C15" s="20">
        <v>5018</v>
      </c>
      <c r="D15" s="16" t="s">
        <v>60</v>
      </c>
    </row>
    <row r="16" spans="1:4" ht="18" thickBot="1" x14ac:dyDescent="0.3">
      <c r="A16" s="18" t="s">
        <v>61</v>
      </c>
      <c r="B16" s="16" t="s">
        <v>62</v>
      </c>
      <c r="C16" s="20">
        <v>7683</v>
      </c>
      <c r="D16" s="16" t="s">
        <v>63</v>
      </c>
    </row>
    <row r="17" spans="1:4" ht="18" thickBot="1" x14ac:dyDescent="0.3">
      <c r="A17" s="18" t="s">
        <v>64</v>
      </c>
      <c r="B17" s="16" t="s">
        <v>65</v>
      </c>
      <c r="C17" s="20">
        <v>6315</v>
      </c>
      <c r="D17" s="16" t="s">
        <v>66</v>
      </c>
    </row>
    <row r="18" spans="1:4" ht="18" thickBot="1" x14ac:dyDescent="0.3">
      <c r="A18" s="18" t="s">
        <v>67</v>
      </c>
      <c r="B18" s="16" t="s">
        <v>68</v>
      </c>
      <c r="C18" s="20">
        <v>6807</v>
      </c>
      <c r="D18" s="16" t="s">
        <v>69</v>
      </c>
    </row>
    <row r="19" spans="1:4" ht="18" thickBot="1" x14ac:dyDescent="0.3">
      <c r="A19" s="18" t="s">
        <v>73</v>
      </c>
      <c r="B19" s="16" t="s">
        <v>59</v>
      </c>
      <c r="C19" s="20">
        <v>9479</v>
      </c>
      <c r="D19" s="16" t="s">
        <v>60</v>
      </c>
    </row>
    <row r="20" spans="1:4" ht="18" thickBot="1" x14ac:dyDescent="0.3">
      <c r="A20" s="18" t="s">
        <v>61</v>
      </c>
      <c r="B20" s="16" t="s">
        <v>62</v>
      </c>
      <c r="C20" s="20">
        <v>2470</v>
      </c>
      <c r="D20" s="16" t="s">
        <v>63</v>
      </c>
    </row>
    <row r="21" spans="1:4" ht="18" thickBot="1" x14ac:dyDescent="0.3">
      <c r="A21" s="18" t="s">
        <v>64</v>
      </c>
      <c r="B21" s="16" t="s">
        <v>65</v>
      </c>
      <c r="C21" s="20">
        <v>9194</v>
      </c>
      <c r="D21" s="16" t="s">
        <v>66</v>
      </c>
    </row>
    <row r="22" spans="1:4" ht="18" thickBot="1" x14ac:dyDescent="0.3">
      <c r="A22" s="18" t="s">
        <v>67</v>
      </c>
      <c r="B22" s="16" t="s">
        <v>68</v>
      </c>
      <c r="C22" s="20">
        <v>6629</v>
      </c>
      <c r="D22" s="16" t="s">
        <v>69</v>
      </c>
    </row>
  </sheetData>
  <mergeCells count="1">
    <mergeCell ref="A1:D1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6B33E-7A5E-4B17-BBD4-DD31EC5F7DCB}">
  <dimension ref="A1:U21"/>
  <sheetViews>
    <sheetView topLeftCell="B1" zoomScale="80" zoomScaleNormal="80" workbookViewId="0">
      <selection activeCell="U12" sqref="U12"/>
    </sheetView>
  </sheetViews>
  <sheetFormatPr defaultRowHeight="15" x14ac:dyDescent="0.25"/>
  <cols>
    <col min="2" max="2" width="15.7109375" customWidth="1"/>
    <col min="4" max="4" width="10.5703125" customWidth="1"/>
    <col min="6" max="6" width="22.7109375" style="21" customWidth="1"/>
    <col min="9" max="9" width="8.7109375" customWidth="1"/>
    <col min="10" max="10" width="12.85546875" customWidth="1"/>
    <col min="11" max="11" width="14.85546875" customWidth="1"/>
    <col min="12" max="12" width="12" customWidth="1"/>
    <col min="15" max="15" width="11" customWidth="1"/>
    <col min="16" max="16" width="9.5703125" customWidth="1"/>
    <col min="17" max="17" width="11.28515625" customWidth="1"/>
    <col min="19" max="19" width="10.42578125" customWidth="1"/>
  </cols>
  <sheetData>
    <row r="1" spans="1:21" ht="35.25" thickBot="1" x14ac:dyDescent="0.3">
      <c r="A1" s="22" t="s">
        <v>75</v>
      </c>
      <c r="B1" s="23" t="s">
        <v>76</v>
      </c>
      <c r="C1" s="23" t="s">
        <v>77</v>
      </c>
      <c r="D1" s="23" t="s">
        <v>78</v>
      </c>
      <c r="E1" s="23" t="s">
        <v>79</v>
      </c>
      <c r="F1" s="24" t="s">
        <v>80</v>
      </c>
      <c r="J1" s="30" t="s">
        <v>86</v>
      </c>
      <c r="K1" s="30" t="s">
        <v>2</v>
      </c>
      <c r="L1" s="30" t="s">
        <v>3</v>
      </c>
    </row>
    <row r="2" spans="1:21" ht="18.75" thickTop="1" thickBot="1" x14ac:dyDescent="0.3">
      <c r="A2" s="25">
        <v>1</v>
      </c>
      <c r="B2" s="16" t="s">
        <v>81</v>
      </c>
      <c r="C2">
        <v>78</v>
      </c>
      <c r="D2">
        <v>82</v>
      </c>
      <c r="E2">
        <v>74</v>
      </c>
      <c r="F2" s="26">
        <f>((C2+D2+E2)/300)*100</f>
        <v>78</v>
      </c>
      <c r="J2" s="31" t="s">
        <v>87</v>
      </c>
      <c r="K2" s="31" t="s">
        <v>93</v>
      </c>
      <c r="L2">
        <v>28000</v>
      </c>
    </row>
    <row r="3" spans="1:21" ht="18" thickBot="1" x14ac:dyDescent="0.3">
      <c r="A3" s="25">
        <v>2</v>
      </c>
      <c r="B3" s="16" t="s">
        <v>82</v>
      </c>
      <c r="C3">
        <v>65</v>
      </c>
      <c r="D3">
        <v>70</v>
      </c>
      <c r="E3">
        <v>68</v>
      </c>
      <c r="F3" s="26">
        <f t="shared" ref="F3:F21" si="0">((C3+D3+E3)/300)*100</f>
        <v>67.666666666666657</v>
      </c>
      <c r="J3" s="31" t="s">
        <v>88</v>
      </c>
      <c r="K3" s="31" t="s">
        <v>10</v>
      </c>
      <c r="L3">
        <v>45000</v>
      </c>
    </row>
    <row r="4" spans="1:21" ht="18" thickBot="1" x14ac:dyDescent="0.3">
      <c r="A4" s="25">
        <v>3</v>
      </c>
      <c r="B4" s="16" t="s">
        <v>83</v>
      </c>
      <c r="C4">
        <v>90</v>
      </c>
      <c r="D4">
        <v>88</v>
      </c>
      <c r="E4">
        <v>92</v>
      </c>
      <c r="F4" s="26">
        <f t="shared" si="0"/>
        <v>90</v>
      </c>
      <c r="J4" s="31" t="s">
        <v>89</v>
      </c>
      <c r="K4" s="31" t="s">
        <v>10</v>
      </c>
      <c r="L4">
        <v>50000</v>
      </c>
      <c r="O4" s="31" t="s">
        <v>87</v>
      </c>
      <c r="P4" s="31" t="s">
        <v>93</v>
      </c>
      <c r="Q4">
        <v>28000</v>
      </c>
    </row>
    <row r="5" spans="1:21" ht="18" thickBot="1" x14ac:dyDescent="0.3">
      <c r="A5" s="25">
        <v>4</v>
      </c>
      <c r="B5" s="16" t="s">
        <v>84</v>
      </c>
      <c r="C5">
        <v>35</v>
      </c>
      <c r="D5">
        <v>40</v>
      </c>
      <c r="E5">
        <v>38</v>
      </c>
      <c r="F5" s="26">
        <f t="shared" si="0"/>
        <v>37.666666666666664</v>
      </c>
      <c r="J5" s="31" t="s">
        <v>90</v>
      </c>
      <c r="K5" s="31" t="s">
        <v>13</v>
      </c>
      <c r="L5">
        <v>42000</v>
      </c>
      <c r="O5" s="31" t="s">
        <v>91</v>
      </c>
      <c r="P5" s="31" t="s">
        <v>7</v>
      </c>
      <c r="Q5">
        <v>30000</v>
      </c>
      <c r="S5" s="31" t="s">
        <v>88</v>
      </c>
      <c r="T5" s="31" t="s">
        <v>10</v>
      </c>
      <c r="U5">
        <v>45000</v>
      </c>
    </row>
    <row r="6" spans="1:21" ht="18" thickBot="1" x14ac:dyDescent="0.3">
      <c r="A6" s="25">
        <v>5</v>
      </c>
      <c r="B6" s="16" t="s">
        <v>85</v>
      </c>
      <c r="C6">
        <v>55</v>
      </c>
      <c r="D6">
        <v>60</v>
      </c>
      <c r="E6">
        <v>58</v>
      </c>
      <c r="F6" s="26">
        <f t="shared" si="0"/>
        <v>57.666666666666664</v>
      </c>
      <c r="J6" s="31" t="s">
        <v>91</v>
      </c>
      <c r="K6" s="31" t="s">
        <v>7</v>
      </c>
      <c r="L6">
        <v>30000</v>
      </c>
      <c r="O6" s="31" t="s">
        <v>87</v>
      </c>
      <c r="P6" s="31" t="s">
        <v>7</v>
      </c>
      <c r="Q6">
        <v>54524</v>
      </c>
      <c r="S6" s="31" t="s">
        <v>89</v>
      </c>
      <c r="T6" s="31" t="s">
        <v>10</v>
      </c>
      <c r="U6">
        <v>50000</v>
      </c>
    </row>
    <row r="7" spans="1:21" ht="18" thickBot="1" x14ac:dyDescent="0.3">
      <c r="A7" s="25">
        <v>6</v>
      </c>
      <c r="B7" s="16" t="s">
        <v>81</v>
      </c>
      <c r="C7">
        <v>36</v>
      </c>
      <c r="D7">
        <v>36</v>
      </c>
      <c r="E7">
        <v>27</v>
      </c>
      <c r="F7" s="26">
        <f t="shared" si="0"/>
        <v>33</v>
      </c>
      <c r="J7" s="31" t="s">
        <v>92</v>
      </c>
      <c r="K7" s="31" t="s">
        <v>13</v>
      </c>
      <c r="L7">
        <v>38000</v>
      </c>
      <c r="O7" s="31" t="s">
        <v>91</v>
      </c>
      <c r="P7" s="31" t="s">
        <v>7</v>
      </c>
      <c r="Q7">
        <v>47614</v>
      </c>
      <c r="S7" s="31" t="s">
        <v>88</v>
      </c>
      <c r="T7" s="31" t="s">
        <v>10</v>
      </c>
      <c r="U7">
        <v>59613</v>
      </c>
    </row>
    <row r="8" spans="1:21" ht="18" thickBot="1" x14ac:dyDescent="0.3">
      <c r="A8" s="25">
        <v>7</v>
      </c>
      <c r="B8" s="16" t="s">
        <v>82</v>
      </c>
      <c r="C8">
        <v>51</v>
      </c>
      <c r="D8">
        <v>43</v>
      </c>
      <c r="E8">
        <v>47</v>
      </c>
      <c r="F8" s="26">
        <f t="shared" si="0"/>
        <v>47</v>
      </c>
      <c r="J8" s="31" t="s">
        <v>87</v>
      </c>
      <c r="K8" s="31" t="s">
        <v>7</v>
      </c>
      <c r="L8">
        <v>54524</v>
      </c>
      <c r="O8" s="31" t="s">
        <v>87</v>
      </c>
      <c r="P8" s="31" t="s">
        <v>7</v>
      </c>
      <c r="Q8">
        <v>56063</v>
      </c>
      <c r="S8" s="31" t="s">
        <v>89</v>
      </c>
      <c r="T8" s="31" t="s">
        <v>10</v>
      </c>
      <c r="U8">
        <v>49390</v>
      </c>
    </row>
    <row r="9" spans="1:21" ht="18" thickBot="1" x14ac:dyDescent="0.3">
      <c r="A9" s="25">
        <v>8</v>
      </c>
      <c r="B9" s="16" t="s">
        <v>83</v>
      </c>
      <c r="C9">
        <v>92</v>
      </c>
      <c r="D9">
        <v>70</v>
      </c>
      <c r="E9">
        <v>96</v>
      </c>
      <c r="F9" s="26">
        <f t="shared" si="0"/>
        <v>86</v>
      </c>
      <c r="J9" s="31" t="s">
        <v>88</v>
      </c>
      <c r="K9" s="31" t="s">
        <v>10</v>
      </c>
      <c r="L9">
        <v>59613</v>
      </c>
      <c r="O9" s="31" t="s">
        <v>91</v>
      </c>
      <c r="P9" s="31" t="s">
        <v>7</v>
      </c>
      <c r="Q9">
        <v>47483</v>
      </c>
      <c r="S9" s="31" t="s">
        <v>88</v>
      </c>
      <c r="T9" s="31" t="s">
        <v>10</v>
      </c>
      <c r="U9">
        <v>31298</v>
      </c>
    </row>
    <row r="10" spans="1:21" ht="18" thickBot="1" x14ac:dyDescent="0.3">
      <c r="A10" s="25">
        <v>9</v>
      </c>
      <c r="B10" s="16" t="s">
        <v>84</v>
      </c>
      <c r="C10">
        <v>28</v>
      </c>
      <c r="D10">
        <v>94</v>
      </c>
      <c r="E10">
        <v>41</v>
      </c>
      <c r="F10" s="26">
        <f t="shared" si="0"/>
        <v>54.333333333333336</v>
      </c>
      <c r="J10" s="31" t="s">
        <v>89</v>
      </c>
      <c r="K10" s="31" t="s">
        <v>10</v>
      </c>
      <c r="L10">
        <v>49390</v>
      </c>
      <c r="O10" s="31" t="s">
        <v>87</v>
      </c>
      <c r="P10" s="31" t="s">
        <v>7</v>
      </c>
      <c r="Q10">
        <v>54377</v>
      </c>
      <c r="S10" s="31" t="s">
        <v>89</v>
      </c>
      <c r="T10" s="31" t="s">
        <v>10</v>
      </c>
      <c r="U10">
        <v>45248</v>
      </c>
    </row>
    <row r="11" spans="1:21" ht="18" thickBot="1" x14ac:dyDescent="0.3">
      <c r="A11" s="25">
        <v>10</v>
      </c>
      <c r="B11" s="16" t="s">
        <v>85</v>
      </c>
      <c r="C11">
        <v>76</v>
      </c>
      <c r="D11">
        <v>36</v>
      </c>
      <c r="E11">
        <v>49</v>
      </c>
      <c r="F11" s="26">
        <f t="shared" si="0"/>
        <v>53.666666666666664</v>
      </c>
      <c r="J11" s="31" t="s">
        <v>90</v>
      </c>
      <c r="K11" s="31" t="s">
        <v>13</v>
      </c>
      <c r="L11">
        <v>61548</v>
      </c>
      <c r="Q11">
        <f>SUM(Q4:Q10)</f>
        <v>318061</v>
      </c>
      <c r="S11" s="31" t="s">
        <v>88</v>
      </c>
      <c r="T11" s="31" t="s">
        <v>10</v>
      </c>
      <c r="U11">
        <v>56005</v>
      </c>
    </row>
    <row r="12" spans="1:21" ht="18" thickBot="1" x14ac:dyDescent="0.3">
      <c r="A12" s="25">
        <v>11</v>
      </c>
      <c r="B12" s="16" t="s">
        <v>81</v>
      </c>
      <c r="C12">
        <v>70</v>
      </c>
      <c r="D12">
        <v>79</v>
      </c>
      <c r="E12">
        <v>46</v>
      </c>
      <c r="F12" s="26">
        <f t="shared" si="0"/>
        <v>65</v>
      </c>
      <c r="J12" s="31" t="s">
        <v>91</v>
      </c>
      <c r="K12" s="31" t="s">
        <v>7</v>
      </c>
      <c r="L12">
        <v>47614</v>
      </c>
      <c r="U12" t="s">
        <v>95</v>
      </c>
    </row>
    <row r="13" spans="1:21" ht="18" thickBot="1" x14ac:dyDescent="0.3">
      <c r="A13" s="25">
        <v>12</v>
      </c>
      <c r="B13" s="16" t="s">
        <v>82</v>
      </c>
      <c r="C13">
        <v>79</v>
      </c>
      <c r="D13">
        <v>78</v>
      </c>
      <c r="E13">
        <v>33</v>
      </c>
      <c r="F13" s="26">
        <f t="shared" si="0"/>
        <v>63.333333333333329</v>
      </c>
      <c r="J13" s="31" t="s">
        <v>92</v>
      </c>
      <c r="K13" s="31" t="s">
        <v>13</v>
      </c>
      <c r="L13">
        <v>48476</v>
      </c>
      <c r="U13" t="s">
        <v>94</v>
      </c>
    </row>
    <row r="14" spans="1:21" ht="18" thickBot="1" x14ac:dyDescent="0.3">
      <c r="A14" s="25">
        <v>13</v>
      </c>
      <c r="B14" s="16" t="s">
        <v>83</v>
      </c>
      <c r="C14">
        <v>81</v>
      </c>
      <c r="D14">
        <v>30</v>
      </c>
      <c r="E14">
        <v>70</v>
      </c>
      <c r="F14" s="26">
        <f t="shared" si="0"/>
        <v>60.333333333333336</v>
      </c>
      <c r="J14" s="31" t="s">
        <v>87</v>
      </c>
      <c r="K14" s="31" t="s">
        <v>7</v>
      </c>
      <c r="L14">
        <v>56063</v>
      </c>
    </row>
    <row r="15" spans="1:21" ht="18" thickBot="1" x14ac:dyDescent="0.3">
      <c r="A15" s="25">
        <v>14</v>
      </c>
      <c r="B15" s="16" t="s">
        <v>84</v>
      </c>
      <c r="C15">
        <v>73</v>
      </c>
      <c r="D15">
        <v>79</v>
      </c>
      <c r="E15">
        <v>69</v>
      </c>
      <c r="F15" s="26">
        <f t="shared" si="0"/>
        <v>73.666666666666671</v>
      </c>
      <c r="J15" s="31" t="s">
        <v>88</v>
      </c>
      <c r="K15" s="31" t="s">
        <v>10</v>
      </c>
      <c r="L15">
        <v>31298</v>
      </c>
    </row>
    <row r="16" spans="1:21" ht="18" thickBot="1" x14ac:dyDescent="0.3">
      <c r="A16" s="25">
        <v>15</v>
      </c>
      <c r="B16" s="16" t="s">
        <v>85</v>
      </c>
      <c r="C16">
        <v>46</v>
      </c>
      <c r="D16">
        <v>40</v>
      </c>
      <c r="E16">
        <v>84</v>
      </c>
      <c r="F16" s="26">
        <f t="shared" si="0"/>
        <v>56.666666666666664</v>
      </c>
      <c r="J16" s="31" t="s">
        <v>89</v>
      </c>
      <c r="K16" s="31" t="s">
        <v>10</v>
      </c>
      <c r="L16">
        <v>45248</v>
      </c>
    </row>
    <row r="17" spans="1:12" ht="18" thickBot="1" x14ac:dyDescent="0.3">
      <c r="A17" s="25">
        <v>16</v>
      </c>
      <c r="B17" s="16" t="s">
        <v>81</v>
      </c>
      <c r="C17">
        <v>48</v>
      </c>
      <c r="D17">
        <v>64</v>
      </c>
      <c r="E17">
        <v>90</v>
      </c>
      <c r="F17" s="26">
        <f t="shared" si="0"/>
        <v>67.333333333333329</v>
      </c>
      <c r="J17" s="31" t="s">
        <v>90</v>
      </c>
      <c r="K17" s="31" t="s">
        <v>13</v>
      </c>
      <c r="L17">
        <v>47986</v>
      </c>
    </row>
    <row r="18" spans="1:12" ht="18" thickBot="1" x14ac:dyDescent="0.3">
      <c r="A18" s="25">
        <v>17</v>
      </c>
      <c r="B18" s="16" t="s">
        <v>82</v>
      </c>
      <c r="C18">
        <v>91</v>
      </c>
      <c r="D18">
        <v>85</v>
      </c>
      <c r="E18">
        <v>94</v>
      </c>
      <c r="F18" s="26">
        <f t="shared" si="0"/>
        <v>90</v>
      </c>
      <c r="J18" s="31" t="s">
        <v>91</v>
      </c>
      <c r="K18" s="31" t="s">
        <v>7</v>
      </c>
      <c r="L18">
        <v>47483</v>
      </c>
    </row>
    <row r="19" spans="1:12" ht="18" thickBot="1" x14ac:dyDescent="0.3">
      <c r="A19" s="25">
        <v>18</v>
      </c>
      <c r="B19" s="16" t="s">
        <v>83</v>
      </c>
      <c r="C19">
        <v>79</v>
      </c>
      <c r="D19">
        <v>77</v>
      </c>
      <c r="E19">
        <v>85</v>
      </c>
      <c r="F19" s="26">
        <f t="shared" si="0"/>
        <v>80.333333333333329</v>
      </c>
      <c r="J19" s="31" t="s">
        <v>92</v>
      </c>
      <c r="K19" s="31" t="s">
        <v>13</v>
      </c>
      <c r="L19">
        <v>59819</v>
      </c>
    </row>
    <row r="20" spans="1:12" ht="18" thickBot="1" x14ac:dyDescent="0.3">
      <c r="A20" s="25">
        <v>19</v>
      </c>
      <c r="B20" s="16" t="s">
        <v>84</v>
      </c>
      <c r="C20">
        <v>50</v>
      </c>
      <c r="D20">
        <v>64</v>
      </c>
      <c r="E20">
        <v>93</v>
      </c>
      <c r="F20" s="26">
        <f t="shared" si="0"/>
        <v>69</v>
      </c>
      <c r="J20" s="31" t="s">
        <v>87</v>
      </c>
      <c r="K20" s="31" t="s">
        <v>7</v>
      </c>
      <c r="L20">
        <v>54377</v>
      </c>
    </row>
    <row r="21" spans="1:12" ht="18" thickBot="1" x14ac:dyDescent="0.3">
      <c r="A21" s="27">
        <v>20</v>
      </c>
      <c r="B21" s="28" t="s">
        <v>85</v>
      </c>
      <c r="C21" s="12">
        <v>46</v>
      </c>
      <c r="D21" s="12">
        <v>47</v>
      </c>
      <c r="E21" s="12">
        <v>49</v>
      </c>
      <c r="F21" s="29">
        <f t="shared" si="0"/>
        <v>47.333333333333336</v>
      </c>
      <c r="J21" s="31" t="s">
        <v>88</v>
      </c>
      <c r="K21" s="31" t="s">
        <v>10</v>
      </c>
      <c r="L21">
        <v>56005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91F20-3D0C-41E8-BF21-823053CF2879}">
  <dimension ref="A1:Q21"/>
  <sheetViews>
    <sheetView topLeftCell="C1" zoomScale="110" zoomScaleNormal="110" workbookViewId="0">
      <selection activeCell="Q6" sqref="Q6"/>
    </sheetView>
  </sheetViews>
  <sheetFormatPr defaultRowHeight="15" x14ac:dyDescent="0.25"/>
  <cols>
    <col min="1" max="1" width="16.140625" customWidth="1"/>
    <col min="10" max="10" width="16.42578125" customWidth="1"/>
    <col min="11" max="11" width="13.28515625" customWidth="1"/>
    <col min="13" max="13" width="13.140625" customWidth="1"/>
    <col min="14" max="14" width="15" customWidth="1"/>
    <col min="16" max="16" width="16" customWidth="1"/>
  </cols>
  <sheetData>
    <row r="1" spans="1:17" ht="35.25" thickBot="1" x14ac:dyDescent="0.3">
      <c r="A1" s="33" t="s">
        <v>86</v>
      </c>
      <c r="B1" s="33" t="s">
        <v>3</v>
      </c>
      <c r="F1" s="33" t="s">
        <v>75</v>
      </c>
      <c r="G1" s="33" t="s">
        <v>1</v>
      </c>
      <c r="H1" s="33" t="s">
        <v>101</v>
      </c>
      <c r="J1" s="33" t="s">
        <v>106</v>
      </c>
      <c r="K1" s="33" t="s">
        <v>56</v>
      </c>
      <c r="M1" s="33" t="s">
        <v>112</v>
      </c>
      <c r="N1" s="33" t="s">
        <v>56</v>
      </c>
    </row>
    <row r="2" spans="1:17" ht="18" thickBot="1" x14ac:dyDescent="0.3">
      <c r="A2" s="34" t="s">
        <v>96</v>
      </c>
      <c r="B2">
        <v>28000</v>
      </c>
      <c r="F2" s="34">
        <v>1</v>
      </c>
      <c r="G2" s="34" t="s">
        <v>91</v>
      </c>
      <c r="H2">
        <v>85</v>
      </c>
      <c r="J2" s="34" t="s">
        <v>107</v>
      </c>
      <c r="K2">
        <v>22000</v>
      </c>
      <c r="M2" s="34" t="s">
        <v>113</v>
      </c>
      <c r="N2">
        <v>4500</v>
      </c>
    </row>
    <row r="3" spans="1:17" ht="18" thickBot="1" x14ac:dyDescent="0.3">
      <c r="A3" s="34" t="s">
        <v>97</v>
      </c>
      <c r="B3">
        <v>34000</v>
      </c>
      <c r="F3" s="34">
        <v>2</v>
      </c>
      <c r="G3" s="34" t="s">
        <v>102</v>
      </c>
      <c r="H3">
        <v>72</v>
      </c>
      <c r="J3" s="34" t="s">
        <v>108</v>
      </c>
      <c r="K3">
        <v>3500</v>
      </c>
      <c r="M3" s="34" t="s">
        <v>114</v>
      </c>
      <c r="N3">
        <v>12000</v>
      </c>
    </row>
    <row r="4" spans="1:17" ht="35.25" thickBot="1" x14ac:dyDescent="0.3">
      <c r="A4" s="34" t="s">
        <v>98</v>
      </c>
      <c r="B4">
        <v>51000</v>
      </c>
      <c r="F4" s="34">
        <v>3</v>
      </c>
      <c r="G4" s="34" t="s">
        <v>103</v>
      </c>
      <c r="H4">
        <v>39</v>
      </c>
      <c r="J4" s="34" t="s">
        <v>109</v>
      </c>
      <c r="K4">
        <v>58000</v>
      </c>
      <c r="M4" s="34" t="s">
        <v>115</v>
      </c>
      <c r="N4">
        <v>8000</v>
      </c>
      <c r="P4" t="s">
        <v>133</v>
      </c>
      <c r="Q4">
        <f>COUNTIF(N2:N21,"&gt;10000")</f>
        <v>12</v>
      </c>
    </row>
    <row r="5" spans="1:17" ht="18" thickBot="1" x14ac:dyDescent="0.3">
      <c r="A5" s="34" t="s">
        <v>99</v>
      </c>
      <c r="B5">
        <v>47000</v>
      </c>
      <c r="F5" s="34">
        <v>4</v>
      </c>
      <c r="G5" s="34" t="s">
        <v>104</v>
      </c>
      <c r="H5">
        <v>91</v>
      </c>
      <c r="J5" s="34" t="s">
        <v>110</v>
      </c>
      <c r="K5">
        <v>1800</v>
      </c>
      <c r="M5" s="34" t="s">
        <v>116</v>
      </c>
      <c r="N5">
        <v>25000</v>
      </c>
      <c r="P5" t="s">
        <v>134</v>
      </c>
      <c r="Q5">
        <f>COUNTIF(N2:N21,"&lt;5000")</f>
        <v>4</v>
      </c>
    </row>
    <row r="6" spans="1:17" ht="35.25" thickBot="1" x14ac:dyDescent="0.3">
      <c r="A6" s="34" t="s">
        <v>100</v>
      </c>
      <c r="B6">
        <v>29000</v>
      </c>
      <c r="F6" s="34">
        <v>5</v>
      </c>
      <c r="G6" s="34" t="s">
        <v>105</v>
      </c>
      <c r="H6">
        <v>28</v>
      </c>
      <c r="J6" s="34" t="s">
        <v>111</v>
      </c>
      <c r="K6">
        <v>12000</v>
      </c>
      <c r="M6" s="34" t="s">
        <v>117</v>
      </c>
      <c r="N6">
        <v>3000</v>
      </c>
    </row>
    <row r="7" spans="1:17" ht="18" thickBot="1" x14ac:dyDescent="0.3">
      <c r="A7" s="34" t="s">
        <v>96</v>
      </c>
      <c r="B7">
        <v>45865</v>
      </c>
      <c r="F7" s="34">
        <v>6</v>
      </c>
      <c r="G7" s="34" t="s">
        <v>91</v>
      </c>
      <c r="H7">
        <v>49</v>
      </c>
      <c r="J7" s="34" t="s">
        <v>107</v>
      </c>
      <c r="K7">
        <v>23207</v>
      </c>
      <c r="M7" s="34" t="s">
        <v>118</v>
      </c>
      <c r="N7">
        <v>15000</v>
      </c>
    </row>
    <row r="8" spans="1:17" ht="18" thickBot="1" x14ac:dyDescent="0.3">
      <c r="A8" s="34" t="s">
        <v>97</v>
      </c>
      <c r="B8">
        <v>36771</v>
      </c>
      <c r="F8" s="34">
        <v>7</v>
      </c>
      <c r="G8" s="34" t="s">
        <v>102</v>
      </c>
      <c r="H8">
        <v>98</v>
      </c>
      <c r="J8" s="34" t="s">
        <v>108</v>
      </c>
      <c r="K8">
        <v>17517</v>
      </c>
      <c r="M8" s="34" t="s">
        <v>119</v>
      </c>
      <c r="N8">
        <v>5108</v>
      </c>
    </row>
    <row r="9" spans="1:17" ht="35.25" thickBot="1" x14ac:dyDescent="0.3">
      <c r="A9" s="34" t="s">
        <v>98</v>
      </c>
      <c r="B9">
        <v>56595</v>
      </c>
      <c r="F9" s="34">
        <v>8</v>
      </c>
      <c r="G9" s="34" t="s">
        <v>103</v>
      </c>
      <c r="H9">
        <v>95</v>
      </c>
      <c r="J9" s="34" t="s">
        <v>109</v>
      </c>
      <c r="K9">
        <v>17035</v>
      </c>
      <c r="M9" s="34" t="s">
        <v>120</v>
      </c>
      <c r="N9">
        <v>19570</v>
      </c>
    </row>
    <row r="10" spans="1:17" ht="18" thickBot="1" x14ac:dyDescent="0.3">
      <c r="A10" s="34" t="s">
        <v>99</v>
      </c>
      <c r="B10">
        <v>52197</v>
      </c>
      <c r="F10" s="34">
        <v>9</v>
      </c>
      <c r="G10" s="34" t="s">
        <v>104</v>
      </c>
      <c r="H10">
        <v>52</v>
      </c>
      <c r="J10" s="34" t="s">
        <v>110</v>
      </c>
      <c r="K10">
        <v>5483</v>
      </c>
      <c r="M10" s="34" t="s">
        <v>121</v>
      </c>
      <c r="N10">
        <v>18434</v>
      </c>
    </row>
    <row r="11" spans="1:17" ht="35.25" thickBot="1" x14ac:dyDescent="0.3">
      <c r="A11" s="34" t="s">
        <v>100</v>
      </c>
      <c r="B11">
        <v>70017</v>
      </c>
      <c r="F11" s="34">
        <v>10</v>
      </c>
      <c r="G11" s="34" t="s">
        <v>105</v>
      </c>
      <c r="H11">
        <v>98</v>
      </c>
      <c r="J11" s="34" t="s">
        <v>111</v>
      </c>
      <c r="K11">
        <v>18618</v>
      </c>
      <c r="M11" s="34" t="s">
        <v>122</v>
      </c>
      <c r="N11">
        <v>18856</v>
      </c>
    </row>
    <row r="12" spans="1:17" ht="18" thickBot="1" x14ac:dyDescent="0.3">
      <c r="A12" s="34" t="s">
        <v>96</v>
      </c>
      <c r="B12">
        <v>52312</v>
      </c>
      <c r="F12" s="34">
        <v>11</v>
      </c>
      <c r="G12" s="34" t="s">
        <v>91</v>
      </c>
      <c r="H12">
        <v>30</v>
      </c>
      <c r="J12" s="34" t="s">
        <v>107</v>
      </c>
      <c r="K12">
        <v>9383</v>
      </c>
      <c r="M12" s="34" t="s">
        <v>123</v>
      </c>
      <c r="N12">
        <v>7888</v>
      </c>
    </row>
    <row r="13" spans="1:17" ht="18" thickBot="1" x14ac:dyDescent="0.3">
      <c r="A13" s="34" t="s">
        <v>97</v>
      </c>
      <c r="B13">
        <v>57270</v>
      </c>
      <c r="F13" s="34">
        <v>12</v>
      </c>
      <c r="G13" s="34" t="s">
        <v>102</v>
      </c>
      <c r="H13">
        <v>91</v>
      </c>
      <c r="J13" s="34" t="s">
        <v>108</v>
      </c>
      <c r="K13">
        <v>17991</v>
      </c>
      <c r="M13" s="34" t="s">
        <v>124</v>
      </c>
      <c r="N13">
        <v>3624</v>
      </c>
    </row>
    <row r="14" spans="1:17" ht="35.25" thickBot="1" x14ac:dyDescent="0.3">
      <c r="A14" s="34" t="s">
        <v>98</v>
      </c>
      <c r="B14">
        <v>50225</v>
      </c>
      <c r="F14" s="34">
        <v>13</v>
      </c>
      <c r="G14" s="34" t="s">
        <v>103</v>
      </c>
      <c r="H14">
        <v>90</v>
      </c>
      <c r="J14" s="34" t="s">
        <v>109</v>
      </c>
      <c r="K14">
        <v>18461</v>
      </c>
      <c r="M14" s="34" t="s">
        <v>125</v>
      </c>
      <c r="N14">
        <v>6151</v>
      </c>
    </row>
    <row r="15" spans="1:17" ht="18" thickBot="1" x14ac:dyDescent="0.3">
      <c r="A15" s="34" t="s">
        <v>99</v>
      </c>
      <c r="B15">
        <v>27010</v>
      </c>
      <c r="F15" s="34">
        <v>14</v>
      </c>
      <c r="G15" s="34" t="s">
        <v>104</v>
      </c>
      <c r="H15">
        <v>92</v>
      </c>
      <c r="J15" s="34" t="s">
        <v>110</v>
      </c>
      <c r="K15">
        <v>28291</v>
      </c>
      <c r="M15" s="34" t="s">
        <v>126</v>
      </c>
      <c r="N15">
        <v>3993</v>
      </c>
    </row>
    <row r="16" spans="1:17" ht="35.25" thickBot="1" x14ac:dyDescent="0.3">
      <c r="A16" s="34" t="s">
        <v>100</v>
      </c>
      <c r="B16">
        <v>65135</v>
      </c>
      <c r="F16" s="34">
        <v>15</v>
      </c>
      <c r="G16" s="34" t="s">
        <v>105</v>
      </c>
      <c r="H16">
        <v>73</v>
      </c>
      <c r="J16" s="34" t="s">
        <v>111</v>
      </c>
      <c r="K16">
        <v>11103</v>
      </c>
      <c r="M16" s="34" t="s">
        <v>127</v>
      </c>
      <c r="N16">
        <v>16739</v>
      </c>
    </row>
    <row r="17" spans="1:14" ht="18" thickBot="1" x14ac:dyDescent="0.3">
      <c r="A17" s="34" t="s">
        <v>96</v>
      </c>
      <c r="B17">
        <v>26810</v>
      </c>
      <c r="F17" s="34">
        <v>16</v>
      </c>
      <c r="G17" s="34" t="s">
        <v>91</v>
      </c>
      <c r="H17">
        <v>86</v>
      </c>
      <c r="J17" s="34" t="s">
        <v>107</v>
      </c>
      <c r="K17">
        <v>3798</v>
      </c>
      <c r="M17" s="34" t="s">
        <v>128</v>
      </c>
      <c r="N17">
        <v>17653</v>
      </c>
    </row>
    <row r="18" spans="1:14" ht="18" thickBot="1" x14ac:dyDescent="0.3">
      <c r="A18" s="34" t="s">
        <v>97</v>
      </c>
      <c r="B18">
        <v>66454</v>
      </c>
      <c r="F18" s="34">
        <v>17</v>
      </c>
      <c r="G18" s="34" t="s">
        <v>102</v>
      </c>
      <c r="H18">
        <v>34</v>
      </c>
      <c r="J18" s="34" t="s">
        <v>108</v>
      </c>
      <c r="K18">
        <v>27915</v>
      </c>
      <c r="M18" s="34" t="s">
        <v>129</v>
      </c>
      <c r="N18">
        <v>10507</v>
      </c>
    </row>
    <row r="19" spans="1:14" ht="35.25" thickBot="1" x14ac:dyDescent="0.3">
      <c r="A19" s="34" t="s">
        <v>98</v>
      </c>
      <c r="B19">
        <v>27550</v>
      </c>
      <c r="F19" s="34">
        <v>18</v>
      </c>
      <c r="G19" s="34" t="s">
        <v>103</v>
      </c>
      <c r="H19">
        <v>44</v>
      </c>
      <c r="J19" s="34" t="s">
        <v>109</v>
      </c>
      <c r="K19">
        <v>28254</v>
      </c>
      <c r="M19" s="34" t="s">
        <v>130</v>
      </c>
      <c r="N19">
        <v>18689</v>
      </c>
    </row>
    <row r="20" spans="1:14" ht="18" thickBot="1" x14ac:dyDescent="0.3">
      <c r="A20" s="34" t="s">
        <v>99</v>
      </c>
      <c r="B20">
        <v>31014</v>
      </c>
      <c r="F20" s="34">
        <v>19</v>
      </c>
      <c r="G20" s="34" t="s">
        <v>104</v>
      </c>
      <c r="H20">
        <v>75</v>
      </c>
      <c r="J20" s="34" t="s">
        <v>110</v>
      </c>
      <c r="K20">
        <v>15229</v>
      </c>
      <c r="M20" s="34" t="s">
        <v>131</v>
      </c>
      <c r="N20">
        <v>17577</v>
      </c>
    </row>
    <row r="21" spans="1:14" ht="35.25" thickBot="1" x14ac:dyDescent="0.3">
      <c r="A21" s="34" t="s">
        <v>100</v>
      </c>
      <c r="B21">
        <v>28840</v>
      </c>
      <c r="F21" s="34">
        <v>20</v>
      </c>
      <c r="G21" s="34" t="s">
        <v>105</v>
      </c>
      <c r="H21">
        <v>88</v>
      </c>
      <c r="J21" s="34" t="s">
        <v>111</v>
      </c>
      <c r="K21">
        <v>19965</v>
      </c>
      <c r="M21" s="34" t="s">
        <v>132</v>
      </c>
      <c r="N21">
        <v>13880</v>
      </c>
    </row>
  </sheetData>
  <phoneticPr fontId="2" type="noConversion"/>
  <conditionalFormatting sqref="B2:B21">
    <cfRule type="cellIs" dxfId="6" priority="8" operator="between">
      <formula>30000</formula>
      <formula>49999</formula>
    </cfRule>
    <cfRule type="cellIs" dxfId="5" priority="9" operator="greaterThan">
      <formula>50000</formula>
    </cfRule>
  </conditionalFormatting>
  <conditionalFormatting sqref="B1:B21">
    <cfRule type="cellIs" dxfId="4" priority="7" operator="lessThan">
      <formula>30000</formula>
    </cfRule>
  </conditionalFormatting>
  <conditionalFormatting sqref="H2:H21">
    <cfRule type="cellIs" dxfId="3" priority="3" operator="lessThan">
      <formula>40</formula>
    </cfRule>
    <cfRule type="cellIs" dxfId="2" priority="4" operator="greaterThan">
      <formula>75</formula>
    </cfRule>
    <cfRule type="cellIs" priority="5" operator="greaterThanOrEqual">
      <formula>"green"</formula>
    </cfRule>
    <cfRule type="cellIs" priority="6" operator="greaterThanOrEqual">
      <formula>75</formula>
    </cfRule>
  </conditionalFormatting>
  <conditionalFormatting sqref="K2:K21">
    <cfRule type="cellIs" dxfId="1" priority="1" operator="lessThan">
      <formula>5000</formula>
    </cfRule>
    <cfRule type="cellIs" dxfId="0" priority="2" operator="greaterThan">
      <formula>20000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AB246B-A2D4-45F7-BEC7-44D6A7091171}">
  <dimension ref="A1:S26"/>
  <sheetViews>
    <sheetView tabSelected="1" topLeftCell="J1" workbookViewId="0">
      <selection activeCell="L6" sqref="L6"/>
    </sheetView>
  </sheetViews>
  <sheetFormatPr defaultRowHeight="15" x14ac:dyDescent="0.25"/>
  <cols>
    <col min="1" max="1" width="14.42578125" customWidth="1"/>
    <col min="2" max="2" width="17.28515625" customWidth="1"/>
    <col min="3" max="3" width="14.28515625" customWidth="1"/>
    <col min="4" max="4" width="14.140625" customWidth="1"/>
    <col min="6" max="6" width="11.140625" bestFit="1" customWidth="1"/>
    <col min="7" max="7" width="13.28515625" customWidth="1"/>
    <col min="8" max="8" width="10.5703125" customWidth="1"/>
    <col min="9" max="9" width="16.28515625" customWidth="1"/>
    <col min="10" max="10" width="14.42578125" customWidth="1"/>
    <col min="11" max="11" width="12.7109375" customWidth="1"/>
    <col min="12" max="12" width="16.28515625" customWidth="1"/>
    <col min="13" max="13" width="15.42578125" customWidth="1"/>
    <col min="14" max="14" width="15.5703125" customWidth="1"/>
    <col min="15" max="15" width="13.28515625" customWidth="1"/>
    <col min="18" max="18" width="14" customWidth="1"/>
    <col min="19" max="19" width="22.28515625" customWidth="1"/>
  </cols>
  <sheetData>
    <row r="1" spans="1:19" ht="52.5" thickBot="1" x14ac:dyDescent="0.3">
      <c r="A1" s="33" t="s">
        <v>75</v>
      </c>
      <c r="B1" s="33" t="s">
        <v>76</v>
      </c>
      <c r="C1" s="33" t="s">
        <v>101</v>
      </c>
      <c r="D1" s="33" t="s">
        <v>135</v>
      </c>
      <c r="G1" s="33" t="s">
        <v>86</v>
      </c>
      <c r="H1" s="33" t="s">
        <v>3</v>
      </c>
      <c r="I1" s="33" t="s">
        <v>137</v>
      </c>
      <c r="K1" s="33" t="s">
        <v>76</v>
      </c>
      <c r="L1" s="33" t="s">
        <v>101</v>
      </c>
      <c r="M1" s="33" t="s">
        <v>138</v>
      </c>
      <c r="P1" s="33" t="s">
        <v>1</v>
      </c>
      <c r="Q1" s="33" t="s">
        <v>139</v>
      </c>
      <c r="R1" s="33" t="s">
        <v>140</v>
      </c>
      <c r="S1" s="33" t="s">
        <v>141</v>
      </c>
    </row>
    <row r="2" spans="1:19" ht="18" thickBot="1" x14ac:dyDescent="0.3">
      <c r="A2" s="34">
        <v>1</v>
      </c>
      <c r="B2" s="34" t="s">
        <v>91</v>
      </c>
      <c r="C2" s="34">
        <v>78</v>
      </c>
      <c r="D2" s="34" t="str">
        <f>IF(Sheet5!C2&gt;=40,"PASS","FAIL")</f>
        <v>PASS</v>
      </c>
      <c r="G2" s="34" t="s">
        <v>96</v>
      </c>
      <c r="H2" s="34">
        <v>28000</v>
      </c>
      <c r="I2" s="34" t="str">
        <f>IF(H2&gt;=40000,"BONUS","NO BONUS")</f>
        <v>NO BONUS</v>
      </c>
      <c r="K2" s="34" t="s">
        <v>91</v>
      </c>
      <c r="L2" s="34">
        <v>82</v>
      </c>
      <c r="M2" s="34" t="str">
        <f>IF(L2&gt;=75,"A",IF(L2&gt;=60,"B",IF(L2&gt;=40,"C","FAIL")))</f>
        <v>A</v>
      </c>
      <c r="P2" s="34" t="s">
        <v>96</v>
      </c>
      <c r="Q2" s="34">
        <v>25</v>
      </c>
      <c r="R2" s="34">
        <v>2</v>
      </c>
      <c r="S2" s="34" t="str">
        <f>IF(AND(Q2&gt;=21,R2&gt;=1),"ELIGIBLE","NOT ELIGIBLE")</f>
        <v>ELIGIBLE</v>
      </c>
    </row>
    <row r="3" spans="1:19" ht="35.25" thickBot="1" x14ac:dyDescent="0.3">
      <c r="A3" s="34">
        <v>2</v>
      </c>
      <c r="B3" s="34" t="s">
        <v>102</v>
      </c>
      <c r="C3" s="34">
        <v>35</v>
      </c>
      <c r="D3" s="34" t="str">
        <f>IF(Sheet5!C3&gt;=40,"PASS","FAIL")</f>
        <v>FAIL</v>
      </c>
      <c r="G3" s="34" t="s">
        <v>97</v>
      </c>
      <c r="H3" s="34">
        <v>45000</v>
      </c>
      <c r="I3" s="34" t="str">
        <f t="shared" ref="I3:I5" si="0">IF(H3&gt;=40000,"BONUS","NO BONUS")</f>
        <v>BONUS</v>
      </c>
      <c r="K3" s="34" t="s">
        <v>102</v>
      </c>
      <c r="L3" s="34">
        <v>67</v>
      </c>
      <c r="M3" s="34" t="str">
        <f t="shared" ref="M3:M6" si="1">IF(L3&gt;=75,"A",IF(L3&gt;=60,"B",IF(L3&gt;=40,"C","FAIL")))</f>
        <v>B</v>
      </c>
      <c r="P3" s="34" t="s">
        <v>97</v>
      </c>
      <c r="Q3" s="34">
        <v>20</v>
      </c>
      <c r="R3" s="34">
        <v>1</v>
      </c>
      <c r="S3" s="34" t="str">
        <f t="shared" ref="S3:S5" si="2">IF(AND(Q3&gt;=21,R3&gt;=1),"ELIGIBLE","NOT ELIGIBLE")</f>
        <v>NOT ELIGIBLE</v>
      </c>
    </row>
    <row r="4" spans="1:19" ht="18" thickBot="1" x14ac:dyDescent="0.3">
      <c r="A4" s="34">
        <v>3</v>
      </c>
      <c r="B4" s="34" t="s">
        <v>136</v>
      </c>
      <c r="C4" s="34">
        <v>62</v>
      </c>
      <c r="D4" s="34" t="str">
        <f>IF(Sheet5!C4&gt;=40,"PASS","FAIL")</f>
        <v>PASS</v>
      </c>
      <c r="G4" s="34" t="s">
        <v>98</v>
      </c>
      <c r="H4" s="34">
        <v>52000</v>
      </c>
      <c r="I4" s="34" t="str">
        <f t="shared" si="0"/>
        <v>BONUS</v>
      </c>
      <c r="K4" s="34" t="s">
        <v>136</v>
      </c>
      <c r="L4" s="34">
        <v>45</v>
      </c>
      <c r="M4" s="34" t="str">
        <f t="shared" si="1"/>
        <v>C</v>
      </c>
      <c r="P4" s="34" t="s">
        <v>98</v>
      </c>
      <c r="Q4" s="34">
        <v>30</v>
      </c>
      <c r="R4" s="34">
        <v>5</v>
      </c>
      <c r="S4" s="34" t="str">
        <f t="shared" si="2"/>
        <v>ELIGIBLE</v>
      </c>
    </row>
    <row r="5" spans="1:19" ht="18" thickBot="1" x14ac:dyDescent="0.3">
      <c r="A5" s="34">
        <v>4</v>
      </c>
      <c r="B5" s="34" t="s">
        <v>104</v>
      </c>
      <c r="C5" s="34">
        <v>40</v>
      </c>
      <c r="D5" s="34" t="str">
        <f>IF(Sheet5!C5&gt;=40,"PASS","FAIL")</f>
        <v>PASS</v>
      </c>
      <c r="G5" s="34" t="s">
        <v>99</v>
      </c>
      <c r="H5" s="34">
        <v>30000</v>
      </c>
      <c r="I5" s="34" t="str">
        <f t="shared" si="0"/>
        <v>NO BONUS</v>
      </c>
      <c r="K5" s="34" t="s">
        <v>104</v>
      </c>
      <c r="L5" s="34">
        <v>33</v>
      </c>
      <c r="M5" s="34" t="str">
        <f t="shared" si="1"/>
        <v>FAIL</v>
      </c>
      <c r="P5" s="34" t="s">
        <v>99</v>
      </c>
      <c r="Q5" s="34">
        <v>22</v>
      </c>
      <c r="R5" s="34">
        <v>0</v>
      </c>
      <c r="S5" s="34" t="str">
        <f t="shared" si="2"/>
        <v>NOT ELIGIBLE</v>
      </c>
    </row>
    <row r="6" spans="1:19" ht="18" thickBot="1" x14ac:dyDescent="0.3">
      <c r="A6" s="34">
        <v>5</v>
      </c>
      <c r="B6" s="34" t="s">
        <v>105</v>
      </c>
      <c r="C6" s="34">
        <v>28</v>
      </c>
      <c r="D6" s="34" t="str">
        <f>IF(Sheet5!C6&gt;=40,"PASS","FAIL")</f>
        <v>FAIL</v>
      </c>
      <c r="K6" s="34" t="s">
        <v>105</v>
      </c>
      <c r="L6" s="34">
        <v>90</v>
      </c>
      <c r="M6" s="34" t="str">
        <f t="shared" si="1"/>
        <v>A</v>
      </c>
    </row>
    <row r="9" spans="1:19" ht="15.75" thickBot="1" x14ac:dyDescent="0.3"/>
    <row r="10" spans="1:19" ht="69.75" thickBot="1" x14ac:dyDescent="0.3">
      <c r="C10" s="33" t="s">
        <v>76</v>
      </c>
      <c r="D10" s="33" t="s">
        <v>142</v>
      </c>
      <c r="E10" s="33" t="s">
        <v>143</v>
      </c>
      <c r="F10" s="33" t="s">
        <v>141</v>
      </c>
      <c r="I10" s="33" t="s">
        <v>146</v>
      </c>
      <c r="J10" s="33" t="s">
        <v>147</v>
      </c>
      <c r="K10" s="33" t="s">
        <v>148</v>
      </c>
      <c r="L10" s="33" t="s">
        <v>149</v>
      </c>
      <c r="O10" s="33" t="s">
        <v>151</v>
      </c>
      <c r="P10" s="33" t="s">
        <v>3</v>
      </c>
      <c r="Q10" s="33" t="s">
        <v>152</v>
      </c>
      <c r="R10" s="33" t="s">
        <v>153</v>
      </c>
    </row>
    <row r="11" spans="1:19" ht="18" thickBot="1" x14ac:dyDescent="0.3">
      <c r="C11" s="34" t="s">
        <v>91</v>
      </c>
      <c r="D11" s="34">
        <v>85</v>
      </c>
      <c r="E11" s="34" t="s">
        <v>144</v>
      </c>
      <c r="F11" s="34" t="e" cm="1">
        <f t="array" ref="F11">IF(AND(D11&gt;=75,E11=YES), "ELIGIBLE", "NOT ELIGIBLE")</f>
        <v>#NAME?</v>
      </c>
      <c r="I11" s="34" t="s">
        <v>81</v>
      </c>
      <c r="J11" s="34">
        <v>9000</v>
      </c>
      <c r="K11" s="34" t="s">
        <v>145</v>
      </c>
      <c r="L11" s="34" t="str">
        <f>IF(OR(J11&gt;=10000, K11="Yes"), "Yes", "No")</f>
        <v>No</v>
      </c>
      <c r="O11" s="34" t="s">
        <v>96</v>
      </c>
      <c r="P11" s="34">
        <v>35000</v>
      </c>
      <c r="Q11" s="34">
        <v>720</v>
      </c>
      <c r="R11" s="34" t="str">
        <f>IF(OR(P11&gt;=40000, Q11="700"), "APPROVED", "No")</f>
        <v>No</v>
      </c>
    </row>
    <row r="12" spans="1:19" ht="18" thickBot="1" x14ac:dyDescent="0.3">
      <c r="C12" s="34" t="s">
        <v>102</v>
      </c>
      <c r="D12" s="34">
        <v>72</v>
      </c>
      <c r="E12" s="34" t="s">
        <v>144</v>
      </c>
      <c r="F12" s="34"/>
      <c r="I12" s="34" t="s">
        <v>150</v>
      </c>
      <c r="J12" s="34">
        <v>12000</v>
      </c>
      <c r="K12" s="34" t="s">
        <v>145</v>
      </c>
      <c r="L12" s="34" t="str">
        <f t="shared" ref="L12:L14" si="3">IF(OR(J12&gt;=10000, K12="Yes"), "Yes", "No")</f>
        <v>Yes</v>
      </c>
      <c r="O12" s="34" t="s">
        <v>97</v>
      </c>
      <c r="P12" s="34">
        <v>25000</v>
      </c>
      <c r="Q12" s="34">
        <v>680</v>
      </c>
      <c r="R12" s="34" t="str">
        <f t="shared" ref="R12:R14" si="4">IF(OR(P12&gt;=40000, Q12="700"), "APPROVED", "No")</f>
        <v>No</v>
      </c>
    </row>
    <row r="13" spans="1:19" ht="18" thickBot="1" x14ac:dyDescent="0.3">
      <c r="C13" s="34" t="s">
        <v>136</v>
      </c>
      <c r="D13" s="34">
        <v>90</v>
      </c>
      <c r="E13" s="34" t="s">
        <v>145</v>
      </c>
      <c r="F13" s="34"/>
      <c r="I13" s="34" t="s">
        <v>136</v>
      </c>
      <c r="J13" s="34">
        <v>4000</v>
      </c>
      <c r="K13" s="34" t="s">
        <v>144</v>
      </c>
      <c r="L13" s="34" t="str">
        <f t="shared" si="3"/>
        <v>Yes</v>
      </c>
      <c r="O13" s="34" t="s">
        <v>98</v>
      </c>
      <c r="P13" s="34">
        <v>50000</v>
      </c>
      <c r="Q13" s="34">
        <v>650</v>
      </c>
      <c r="R13" s="34" t="str">
        <f t="shared" si="4"/>
        <v>APPROVED</v>
      </c>
    </row>
    <row r="14" spans="1:19" ht="18" thickBot="1" x14ac:dyDescent="0.3">
      <c r="C14" s="34" t="s">
        <v>104</v>
      </c>
      <c r="D14" s="34">
        <v>80</v>
      </c>
      <c r="E14" s="34" t="s">
        <v>144</v>
      </c>
      <c r="F14" s="36"/>
      <c r="I14" s="34" t="s">
        <v>84</v>
      </c>
      <c r="J14" s="34">
        <v>3000</v>
      </c>
      <c r="K14" s="34" t="s">
        <v>145</v>
      </c>
      <c r="L14" s="34" t="str">
        <f t="shared" si="3"/>
        <v>No</v>
      </c>
      <c r="O14" s="34" t="s">
        <v>99</v>
      </c>
      <c r="P14" s="34">
        <v>20000</v>
      </c>
      <c r="Q14" s="34">
        <v>600</v>
      </c>
      <c r="R14" s="34" t="str">
        <f t="shared" si="4"/>
        <v>No</v>
      </c>
    </row>
    <row r="17" spans="4:19" ht="15.75" thickBot="1" x14ac:dyDescent="0.3"/>
    <row r="18" spans="4:19" ht="45.75" thickBot="1" x14ac:dyDescent="0.3">
      <c r="D18" s="33" t="s">
        <v>1</v>
      </c>
      <c r="E18" s="33" t="s">
        <v>154</v>
      </c>
      <c r="F18" s="33" t="s">
        <v>155</v>
      </c>
      <c r="I18" s="33"/>
      <c r="J18" s="33"/>
      <c r="K18" s="33"/>
      <c r="L18" s="33" t="s">
        <v>156</v>
      </c>
      <c r="M18" s="33" t="s">
        <v>157</v>
      </c>
      <c r="N18" s="33" t="s">
        <v>135</v>
      </c>
      <c r="P18" s="37" t="s">
        <v>86</v>
      </c>
      <c r="Q18" s="37" t="s">
        <v>158</v>
      </c>
      <c r="R18" s="37" t="s">
        <v>142</v>
      </c>
      <c r="S18" s="37" t="s">
        <v>159</v>
      </c>
    </row>
    <row r="19" spans="4:19" ht="18" thickBot="1" x14ac:dyDescent="0.3">
      <c r="D19" s="34" t="s">
        <v>91</v>
      </c>
      <c r="E19" s="34" t="b">
        <v>1</v>
      </c>
      <c r="F19" s="34" t="str">
        <f>IF(NOT(E19="TRUE"),"ABSENT","PRESENT")</f>
        <v>ABSENT</v>
      </c>
      <c r="I19" s="33"/>
      <c r="J19" s="33"/>
      <c r="K19" s="33"/>
      <c r="L19" s="34">
        <v>10</v>
      </c>
      <c r="M19" s="34">
        <v>2</v>
      </c>
      <c r="N19" s="34">
        <f>IFERROR(L19/M19,"INVALID")</f>
        <v>5</v>
      </c>
      <c r="P19" s="38" t="s">
        <v>160</v>
      </c>
      <c r="Q19" s="38">
        <v>45</v>
      </c>
      <c r="R19" s="38">
        <v>92</v>
      </c>
      <c r="S19" s="38" t="str">
        <f>IF(AND(R19&gt;=90,Q19&gt;=40),"EXCELLENT",IF(R19&gt;=80,"GOOD","NEED IMPROVEMENT"))</f>
        <v>EXCELLENT</v>
      </c>
    </row>
    <row r="20" spans="4:19" ht="18" thickBot="1" x14ac:dyDescent="0.3">
      <c r="D20" s="34" t="s">
        <v>102</v>
      </c>
      <c r="E20" s="34" t="b">
        <v>0</v>
      </c>
      <c r="F20" s="34" t="str">
        <f t="shared" ref="F20:F22" si="5">IF(NOT(E20="TRUE"),"ABSENT","PRESENT")</f>
        <v>ABSENT</v>
      </c>
      <c r="I20" s="33"/>
      <c r="J20" s="33"/>
      <c r="K20" s="33"/>
      <c r="L20" s="34">
        <v>15</v>
      </c>
      <c r="M20" s="34">
        <v>0</v>
      </c>
      <c r="N20" s="34" t="str">
        <f t="shared" ref="N20:N22" si="6">IFERROR(L20/M20,"INVALID")</f>
        <v>INVALID</v>
      </c>
      <c r="P20" s="38" t="s">
        <v>161</v>
      </c>
      <c r="Q20" s="38">
        <v>38</v>
      </c>
      <c r="R20" s="38">
        <v>85</v>
      </c>
      <c r="S20" s="38" t="str">
        <f t="shared" ref="S20:S22" si="7">IF(AND(R20&gt;=90,Q20&gt;=40),"EXCELLENT",IF(R20&gt;=80,"GOOD","NEED IMPROVEMENT"))</f>
        <v>GOOD</v>
      </c>
    </row>
    <row r="21" spans="4:19" ht="18" thickBot="1" x14ac:dyDescent="0.3">
      <c r="D21" s="34" t="s">
        <v>136</v>
      </c>
      <c r="E21" s="34" t="b">
        <v>1</v>
      </c>
      <c r="F21" s="34" t="str">
        <f t="shared" si="5"/>
        <v>ABSENT</v>
      </c>
      <c r="I21" s="33"/>
      <c r="J21" s="33"/>
      <c r="K21" s="33"/>
      <c r="L21" s="34">
        <v>20</v>
      </c>
      <c r="M21" s="34">
        <v>5</v>
      </c>
      <c r="N21" s="34">
        <f t="shared" si="6"/>
        <v>4</v>
      </c>
      <c r="P21" s="38" t="s">
        <v>162</v>
      </c>
      <c r="Q21" s="38">
        <v>50</v>
      </c>
      <c r="R21" s="38">
        <v>95</v>
      </c>
      <c r="S21" s="38" t="str">
        <f t="shared" si="7"/>
        <v>EXCELLENT</v>
      </c>
    </row>
    <row r="22" spans="4:19" ht="18" thickBot="1" x14ac:dyDescent="0.3">
      <c r="D22" s="34" t="s">
        <v>104</v>
      </c>
      <c r="E22" s="34" t="b">
        <v>0</v>
      </c>
      <c r="F22" s="34" t="str">
        <f t="shared" si="5"/>
        <v>ABSENT</v>
      </c>
      <c r="I22" s="33"/>
      <c r="J22" s="33"/>
      <c r="K22" s="33"/>
      <c r="L22" s="34">
        <v>8</v>
      </c>
      <c r="M22" s="34">
        <v>0</v>
      </c>
      <c r="N22" s="34" t="str">
        <f t="shared" si="6"/>
        <v>INVALID</v>
      </c>
      <c r="P22" s="38" t="s">
        <v>69</v>
      </c>
      <c r="Q22" s="38">
        <v>30</v>
      </c>
      <c r="R22" s="38">
        <v>70</v>
      </c>
      <c r="S22" s="38" t="str">
        <f t="shared" si="7"/>
        <v>NEED IMPROVEMENT</v>
      </c>
    </row>
    <row r="23" spans="4:19" ht="21" x14ac:dyDescent="0.25">
      <c r="P23" s="39" t="s">
        <v>163</v>
      </c>
      <c r="Q23" s="35"/>
      <c r="R23" s="35"/>
      <c r="S23" s="35"/>
    </row>
    <row r="24" spans="4:19" ht="155.25" x14ac:dyDescent="0.25">
      <c r="P24" s="40" t="s">
        <v>164</v>
      </c>
      <c r="Q24" s="35"/>
      <c r="R24" s="35"/>
      <c r="S24" s="35"/>
    </row>
    <row r="25" spans="4:19" ht="86.25" x14ac:dyDescent="0.25">
      <c r="P25" s="40" t="s">
        <v>165</v>
      </c>
      <c r="Q25" s="35"/>
      <c r="R25" s="35"/>
      <c r="S25" s="35"/>
    </row>
    <row r="26" spans="4:19" ht="86.25" x14ac:dyDescent="0.25">
      <c r="P26" s="40" t="s">
        <v>166</v>
      </c>
      <c r="Q26" s="35"/>
      <c r="R26" s="35"/>
      <c r="S26" s="35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Sheet2</vt:lpstr>
      <vt:lpstr>Sheet3</vt:lpstr>
      <vt:lpstr>Sheet4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Mukesh Gohel</dc:creator>
  <cp:lastModifiedBy>Mukesh Gohel</cp:lastModifiedBy>
  <cp:lastPrinted>2026-07-05T09:35:47Z</cp:lastPrinted>
  <dcterms:created xsi:type="dcterms:W3CDTF">2026-07-04T08:23:41Z</dcterms:created>
  <dcterms:modified xsi:type="dcterms:W3CDTF">2026-07-05T09:36:20Z</dcterms:modified>
</cp:coreProperties>
</file>