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8_{89695544-0250-497C-A77F-3471FE1A8D19}" xr6:coauthVersionLast="47" xr6:coauthVersionMax="47" xr10:uidLastSave="{00000000-0000-0000-0000-000000000000}"/>
  <bookViews>
    <workbookView xWindow="-120" yWindow="-120" windowWidth="20730" windowHeight="11040" activeTab="2" xr2:uid="{DE367E80-5B2A-4982-BA95-76C2E82431EC}"/>
  </bookViews>
  <sheets>
    <sheet name="Sheet1" sheetId="1" r:id="rId1"/>
    <sheet name="Sheet2" sheetId="2" r:id="rId2"/>
    <sheet name="Sheet3" sheetId="3" r:id="rId3"/>
    <sheet name="Sheet4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1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U12" i="3"/>
</calcChain>
</file>

<file path=xl/sharedStrings.xml><?xml version="1.0" encoding="utf-8"?>
<sst xmlns="http://schemas.openxmlformats.org/spreadsheetml/2006/main" count="249" uniqueCount="96">
  <si>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</si>
  <si>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</si>
  <si>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</si>
  <si>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</si>
  <si>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</si>
  <si>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</si>
  <si>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</si>
  <si>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</si>
  <si>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</si>
  <si>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</si>
  <si>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</si>
  <si>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</si>
  <si>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</si>
  <si>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</si>
  <si>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</si>
  <si>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</si>
  <si>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</si>
  <si>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</si>
  <si>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</si>
  <si>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</si>
  <si>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</si>
  <si>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</si>
  <si>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</si>
  <si>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</si>
  <si>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</si>
  <si>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</si>
  <si>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</si>
  <si>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</si>
  <si>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</si>
  <si>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</si>
  <si>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</si>
  <si>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</si>
  <si>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</si>
  <si>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</si>
  <si>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 xml:space="preserve"> 12-01-2022</t>
  </si>
  <si>
    <t xml:space="preserve"> 05-03-2021</t>
  </si>
  <si>
    <t xml:space="preserve"> 18-07-2020</t>
  </si>
  <si>
    <t xml:space="preserve"> 10-11-2019</t>
  </si>
  <si>
    <t xml:space="preserve"> 25-06-2023</t>
  </si>
  <si>
    <t xml:space="preserve"> 12-01-2023</t>
  </si>
  <si>
    <t xml:space="preserve"> 05-03-2022</t>
  </si>
  <si>
    <t xml:space="preserve"> 18-07-2021</t>
  </si>
  <si>
    <t xml:space="preserve"> 10-11-2020</t>
  </si>
  <si>
    <t xml:space="preserve"> 25-06-2024</t>
  </si>
  <si>
    <t xml:space="preserve"> 12-01-2024</t>
  </si>
  <si>
    <t xml:space="preserve"> 05-03-2023</t>
  </si>
  <si>
    <t xml:space="preserve"> 18-07-2022</t>
  </si>
  <si>
    <t xml:space="preserve"> 10-11-2021</t>
  </si>
  <si>
    <t xml:space="preserve"> 25-06-2025</t>
  </si>
  <si>
    <t xml:space="preserve"> 12-01-2025</t>
  </si>
  <si>
    <t xml:space="preserve"> 05-03-2024</t>
  </si>
  <si>
    <t xml:space="preserve"> 18-07-2023</t>
  </si>
  <si>
    <t xml:space="preserve"> 10-11-2022</t>
  </si>
  <si>
    <t xml:space="preserve"> 25-06-2026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</si>
  <si>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</si>
  <si>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</si>
  <si>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</si>
  <si>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</si>
  <si>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</si>
  <si>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</si>
  <si>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</si>
  <si>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</si>
  <si>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</si>
  <si>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</si>
  <si>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</si>
  <si>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</si>
  <si>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</si>
  <si>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</si>
  <si>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</si>
  <si>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</si>
  <si>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Laptop Dell Inspiron 16</t>
  </si>
  <si>
    <t>Laptop Dell Inspiron 17</t>
  </si>
  <si>
    <t>Laptop Dell Inspiron 18</t>
  </si>
  <si>
    <t>Laptop Dell Inspiron 19</t>
  </si>
  <si>
    <t xml:space="preserve"> Monthly Sales Report</t>
  </si>
  <si>
    <t>Roll No</t>
  </si>
  <si>
    <t>Student Name</t>
  </si>
  <si>
    <t>Maths</t>
  </si>
  <si>
    <t>Science</t>
  </si>
  <si>
    <t>English</t>
  </si>
  <si>
    <t>Percentage</t>
  </si>
  <si>
    <t>Aakash</t>
  </si>
  <si>
    <t>Bhavya</t>
  </si>
  <si>
    <t>Chirag</t>
  </si>
  <si>
    <t>Divya</t>
  </si>
  <si>
    <t>Esha</t>
  </si>
  <si>
    <t>Employee Name	Department	Salary
Suresh	HR	28000
Meena	IT	45000
Karan	IT	50000
Ritu	Finance	42000
Aman	HR	30000
Neel	Finance	38000</t>
  </si>
  <si>
    <t>Employee Name</t>
  </si>
  <si>
    <t>Suresh</t>
  </si>
  <si>
    <t>Meena</t>
  </si>
  <si>
    <t>Karan</t>
  </si>
  <si>
    <t>Ritu</t>
  </si>
  <si>
    <t>Aman</t>
  </si>
  <si>
    <t>Neel</t>
  </si>
  <si>
    <t xml:space="preserve"> HR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</si>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</sst>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5" tint="0.79998168889431442"/>
      <name val="Calibri"/>
      <family val="2"/>
      <scheme val="minor"/>
    </font>
    <font>
      <sz val="12"/>
      <color theme="1"/>
      <name val="Segoe UI"/>
      <family val="2"/>
    </font>
    <font>
      <sz val="12"/>
      <color theme="1"/>
      <name val="Segoe UI"/>
      <family val="2"/>
    </font>
    <font>
      <b/>
      <sz val="13"/>
      <color theme="3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medium">
        <color rgb="FFB7BDC8"/>
      </left>
      <right style="medium">
        <color rgb="FFB7BDC8"/>
      </right>
      <top style="medium">
        <color rgb="FFB7BDC8"/>
      </top>
      <bottom style="medium">
        <color rgb="FFB7BDC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rgb="FFB7BDC8"/>
      </bottom>
      <diagonal/>
    </border>
    <border>
      <left style="medium">
        <color indexed="64"/>
      </left>
      <right/>
      <top style="medium">
        <color indexed="64"/>
      </top>
      <bottom style="thick">
        <color theme="4" tint="0.499984740745262"/>
      </bottom>
      <diagonal/>
    </border>
    <border>
      <left/>
      <right/>
      <top style="medium">
        <color indexed="64"/>
      </top>
      <bottom style="thick">
        <color theme="4" tint="0.499984740745262"/>
      </bottom>
      <diagonal/>
    </border>
    <border>
      <left/>
      <right style="medium">
        <color indexed="64"/>
      </right>
      <top style="medium">
        <color indexed="64"/>
      </top>
      <bottom style="thick">
        <color theme="4" tint="0.499984740745262"/>
      </bottom>
      <diagonal/>
    </border>
    <border>
      <left style="medium">
        <color indexed="64"/>
      </left>
      <right style="medium">
        <color rgb="FFB7BDC8"/>
      </right>
      <top style="medium">
        <color rgb="FFB7BDC8"/>
      </top>
      <bottom style="medium">
        <color rgb="FFB7BDC8"/>
      </bottom>
      <diagonal/>
    </border>
    <border>
      <left style="medium">
        <color rgb="FFB7BDC8"/>
      </left>
      <right style="medium">
        <color indexed="64"/>
      </right>
      <top style="medium">
        <color rgb="FFB7BDC8"/>
      </top>
      <bottom style="medium">
        <color rgb="FFB7BDC8"/>
      </bottom>
      <diagonal/>
    </border>
    <border>
      <left style="medium">
        <color indexed="64"/>
      </left>
      <right style="medium">
        <color rgb="FFB7BDC8"/>
      </right>
      <top style="medium">
        <color rgb="FFB7BDC8"/>
      </top>
      <bottom style="medium">
        <color indexed="64"/>
      </bottom>
      <diagonal/>
    </border>
    <border>
      <left style="medium">
        <color rgb="FFB7BDC8"/>
      </left>
      <right style="medium">
        <color rgb="FFB7BDC8"/>
      </right>
      <top style="medium">
        <color rgb="FFB7BDC8"/>
      </top>
      <bottom style="medium">
        <color indexed="64"/>
      </bottom>
      <diagonal/>
    </border>
    <border>
      <left style="medium">
        <color rgb="FFB7BDC8"/>
      </left>
      <right style="medium">
        <color indexed="64"/>
      </right>
      <top style="medium">
        <color rgb="FFB7BDC8"/>
      </top>
      <bottom style="medium">
        <color indexed="64"/>
      </bottom>
      <diagonal/>
    </border>
  </borders>
  <cellStyleXfs count="2">
    <xf numFmtId="0" fontId="0" fillId="0" borderId="0"/>
    <xf numFmtId="0" fontId="6" fillId="0" borderId="10" applyNumberFormat="0" applyFill="0" applyAlignment="0" applyProtection="0"/>
  </cellStyleXfs>
  <cellXfs count="36">
    <xf numFmtId="0" fontId="0" fillId="0" borderId="0" xfId="0"/>
    <xf numFmtId="14" fontId="0" fillId="0" borderId="0" xfId="0" applyNumberFormat="1"/>
    <xf numFmtId="0" fontId="1" fillId="2" borderId="0" xfId="0" applyFont="1" applyFill="1"/>
    <xf numFmtId="0" fontId="3" fillId="2" borderId="0" xfId="0" applyFont="1" applyFill="1"/>
    <xf numFmtId="164" fontId="0" fillId="0" borderId="0" xfId="0" applyNumberFormat="1"/>
    <xf numFmtId="0" fontId="1" fillId="2" borderId="2" xfId="0" applyFont="1" applyFill="1" applyBorder="1"/>
    <xf numFmtId="0" fontId="1" fillId="2" borderId="3" xfId="0" applyFont="1" applyFill="1" applyBorder="1"/>
    <xf numFmtId="164" fontId="1" fillId="2" borderId="3" xfId="0" applyNumberFormat="1" applyFont="1" applyFill="1" applyBorder="1" applyAlignment="1">
      <alignment horizontal="right"/>
    </xf>
    <xf numFmtId="14" fontId="1" fillId="2" borderId="4" xfId="0" applyNumberFormat="1" applyFont="1" applyFill="1" applyBorder="1" applyAlignment="1">
      <alignment horizontal="right"/>
    </xf>
    <xf numFmtId="0" fontId="0" fillId="3" borderId="5" xfId="0" applyFill="1" applyBorder="1"/>
    <xf numFmtId="14" fontId="0" fillId="0" borderId="6" xfId="0" applyNumberFormat="1" applyBorder="1"/>
    <xf numFmtId="0" fontId="0" fillId="3" borderId="7" xfId="0" applyFill="1" applyBorder="1"/>
    <xf numFmtId="0" fontId="0" fillId="0" borderId="8" xfId="0" applyBorder="1"/>
    <xf numFmtId="164" fontId="0" fillId="0" borderId="8" xfId="0" applyNumberFormat="1" applyBorder="1"/>
    <xf numFmtId="14" fontId="0" fillId="0" borderId="9" xfId="0" applyNumberFormat="1" applyBorder="1"/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 inden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0" fillId="0" borderId="0" xfId="0" applyAlignment="1"/>
    <xf numFmtId="44" fontId="4" fillId="3" borderId="1" xfId="0" applyNumberFormat="1" applyFont="1" applyFill="1" applyBorder="1" applyAlignment="1">
      <alignment horizontal="center" vertical="center" wrapText="1"/>
    </xf>
    <xf numFmtId="44" fontId="0" fillId="0" borderId="0" xfId="0" applyNumberFormat="1"/>
    <xf numFmtId="0" fontId="7" fillId="0" borderId="11" xfId="0" applyFont="1" applyBorder="1" applyAlignment="1">
      <alignment horizontal="center"/>
    </xf>
    <xf numFmtId="10" fontId="0" fillId="0" borderId="0" xfId="0" applyNumberFormat="1"/>
    <xf numFmtId="0" fontId="6" fillId="3" borderId="12" xfId="1" applyFill="1" applyBorder="1" applyAlignment="1">
      <alignment horizontal="center" vertical="center" wrapText="1"/>
    </xf>
    <xf numFmtId="0" fontId="6" fillId="3" borderId="13" xfId="1" applyFill="1" applyBorder="1" applyAlignment="1">
      <alignment horizontal="center" vertical="center" wrapText="1"/>
    </xf>
    <xf numFmtId="10" fontId="6" fillId="3" borderId="14" xfId="1" applyNumberForma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left" vertical="center" wrapText="1" indent="1"/>
    </xf>
    <xf numFmtId="0" fontId="0" fillId="0" borderId="0" xfId="0" applyBorder="1"/>
    <xf numFmtId="10" fontId="5" fillId="3" borderId="16" xfId="0" applyNumberFormat="1" applyFont="1" applyFill="1" applyBorder="1" applyAlignment="1">
      <alignment horizontal="left" vertical="center" wrapText="1" indent="1"/>
    </xf>
    <xf numFmtId="0" fontId="5" fillId="3" borderId="17" xfId="0" applyFont="1" applyFill="1" applyBorder="1" applyAlignment="1">
      <alignment horizontal="left" vertical="center" wrapText="1" indent="1"/>
    </xf>
    <xf numFmtId="0" fontId="5" fillId="3" borderId="18" xfId="0" applyFont="1" applyFill="1" applyBorder="1" applyAlignment="1">
      <alignment horizontal="left" vertical="center" wrapText="1" indent="1"/>
    </xf>
    <xf numFmtId="10" fontId="5" fillId="3" borderId="19" xfId="0" applyNumberFormat="1" applyFont="1" applyFill="1" applyBorder="1" applyAlignment="1">
      <alignment horizontal="left" vertical="center" wrapText="1" indent="1"/>
    </xf>
    <xf numFmtId="0" fontId="0" fillId="0" borderId="0" xfId="0" applyAlignment="1">
      <alignment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 indent="1"/>
    </xf>
  </cellXfs>
  <cellStyles count="2">
    <cellStyle name="Heading 2" xfId="1" builtinId="1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A5ACD-D30A-4D89-8485-118D0A02CD13}">
  <dimension ref="A1:E21"/>
  <sheetViews>
    <sheetView zoomScale="130" zoomScaleNormal="130" workbookViewId="0">
      <selection activeCell="J10" sqref="J10"/>
    </sheetView>
  </sheetViews>
  <sheetFormatPr defaultRowHeight="15" x14ac:dyDescent="0.25"/>
  <cols>
    <col min="1" max="1" width="12.140625" style="3" bestFit="1" customWidth="1"/>
    <col min="2" max="2" width="12.28515625" bestFit="1" customWidth="1"/>
    <col min="3" max="3" width="11.7109375" bestFit="1" customWidth="1"/>
    <col min="4" max="4" width="11.28515625" style="4" bestFit="1" customWidth="1"/>
    <col min="5" max="5" width="11.85546875" style="1" bestFit="1" customWidth="1"/>
  </cols>
  <sheetData>
    <row r="1" spans="1:5" s="2" customFormat="1" x14ac:dyDescent="0.25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</row>
    <row r="2" spans="1:5" x14ac:dyDescent="0.25">
      <c r="A2" s="9" t="s">
        <v>5</v>
      </c>
      <c r="B2" t="s">
        <v>6</v>
      </c>
      <c r="C2" t="s">
        <v>7</v>
      </c>
      <c r="D2" s="4">
        <v>32000</v>
      </c>
      <c r="E2" s="10" t="s">
        <v>34</v>
      </c>
    </row>
    <row r="3" spans="1:5" x14ac:dyDescent="0.25">
      <c r="A3" s="9" t="s">
        <v>8</v>
      </c>
      <c r="B3" t="s">
        <v>9</v>
      </c>
      <c r="C3" t="s">
        <v>10</v>
      </c>
      <c r="D3" s="4">
        <v>45000</v>
      </c>
      <c r="E3" s="10" t="s">
        <v>35</v>
      </c>
    </row>
    <row r="4" spans="1:5" x14ac:dyDescent="0.25">
      <c r="A4" s="9" t="s">
        <v>11</v>
      </c>
      <c r="B4" t="s">
        <v>12</v>
      </c>
      <c r="C4" t="s">
        <v>13</v>
      </c>
      <c r="D4" s="4">
        <v>38000</v>
      </c>
      <c r="E4" s="10" t="s">
        <v>36</v>
      </c>
    </row>
    <row r="5" spans="1:5" x14ac:dyDescent="0.25">
      <c r="A5" s="9" t="s">
        <v>14</v>
      </c>
      <c r="B5" t="s">
        <v>15</v>
      </c>
      <c r="C5" t="s">
        <v>10</v>
      </c>
      <c r="D5" s="4">
        <v>52000</v>
      </c>
      <c r="E5" s="10" t="s">
        <v>37</v>
      </c>
    </row>
    <row r="6" spans="1:5" x14ac:dyDescent="0.25">
      <c r="A6" s="9" t="s">
        <v>16</v>
      </c>
      <c r="B6" t="s">
        <v>17</v>
      </c>
      <c r="C6" t="s">
        <v>18</v>
      </c>
      <c r="D6" s="4">
        <v>30000</v>
      </c>
      <c r="E6" s="10" t="s">
        <v>38</v>
      </c>
    </row>
    <row r="7" spans="1:5" x14ac:dyDescent="0.25">
      <c r="A7" s="9" t="s">
        <v>19</v>
      </c>
      <c r="B7" t="s">
        <v>6</v>
      </c>
      <c r="C7" t="s">
        <v>7</v>
      </c>
      <c r="D7" s="4">
        <f ca="1">RANDBETWEEN(25000,65000)</f>
        <v>46363</v>
      </c>
      <c r="E7" s="10" t="s">
        <v>39</v>
      </c>
    </row>
    <row r="8" spans="1:5" x14ac:dyDescent="0.25">
      <c r="A8" s="9" t="s">
        <v>20</v>
      </c>
      <c r="B8" t="s">
        <v>9</v>
      </c>
      <c r="C8" t="s">
        <v>10</v>
      </c>
      <c r="D8" s="4">
        <f t="shared" ref="D8:D21" ca="1" si="0">RANDBETWEEN(25000,65000)</f>
        <v>48513</v>
      </c>
      <c r="E8" s="10" t="s">
        <v>40</v>
      </c>
    </row>
    <row r="9" spans="1:5" x14ac:dyDescent="0.25">
      <c r="A9" s="9" t="s">
        <v>21</v>
      </c>
      <c r="B9" t="s">
        <v>12</v>
      </c>
      <c r="C9" t="s">
        <v>13</v>
      </c>
      <c r="D9" s="4">
        <f t="shared" ca="1" si="0"/>
        <v>53049</v>
      </c>
      <c r="E9" s="10" t="s">
        <v>41</v>
      </c>
    </row>
    <row r="10" spans="1:5" x14ac:dyDescent="0.25">
      <c r="A10" s="9" t="s">
        <v>22</v>
      </c>
      <c r="B10" t="s">
        <v>15</v>
      </c>
      <c r="C10" t="s">
        <v>10</v>
      </c>
      <c r="D10" s="4">
        <f t="shared" ca="1" si="0"/>
        <v>41260</v>
      </c>
      <c r="E10" s="10" t="s">
        <v>42</v>
      </c>
    </row>
    <row r="11" spans="1:5" x14ac:dyDescent="0.25">
      <c r="A11" s="9" t="s">
        <v>23</v>
      </c>
      <c r="B11" t="s">
        <v>17</v>
      </c>
      <c r="C11" t="s">
        <v>18</v>
      </c>
      <c r="D11" s="4">
        <f t="shared" ca="1" si="0"/>
        <v>47853</v>
      </c>
      <c r="E11" s="10" t="s">
        <v>43</v>
      </c>
    </row>
    <row r="12" spans="1:5" x14ac:dyDescent="0.25">
      <c r="A12" s="9" t="s">
        <v>24</v>
      </c>
      <c r="B12" t="s">
        <v>6</v>
      </c>
      <c r="C12" t="s">
        <v>7</v>
      </c>
      <c r="D12" s="4">
        <f t="shared" ca="1" si="0"/>
        <v>64580</v>
      </c>
      <c r="E12" s="10" t="s">
        <v>44</v>
      </c>
    </row>
    <row r="13" spans="1:5" x14ac:dyDescent="0.25">
      <c r="A13" s="9" t="s">
        <v>25</v>
      </c>
      <c r="B13" t="s">
        <v>9</v>
      </c>
      <c r="C13" t="s">
        <v>10</v>
      </c>
      <c r="D13" s="4">
        <f t="shared" ca="1" si="0"/>
        <v>45691</v>
      </c>
      <c r="E13" s="10" t="s">
        <v>45</v>
      </c>
    </row>
    <row r="14" spans="1:5" x14ac:dyDescent="0.25">
      <c r="A14" s="9" t="s">
        <v>26</v>
      </c>
      <c r="B14" t="s">
        <v>12</v>
      </c>
      <c r="C14" t="s">
        <v>13</v>
      </c>
      <c r="D14" s="4">
        <f t="shared" ca="1" si="0"/>
        <v>33379</v>
      </c>
      <c r="E14" s="10" t="s">
        <v>46</v>
      </c>
    </row>
    <row r="15" spans="1:5" x14ac:dyDescent="0.25">
      <c r="A15" s="9" t="s">
        <v>27</v>
      </c>
      <c r="B15" t="s">
        <v>15</v>
      </c>
      <c r="C15" t="s">
        <v>10</v>
      </c>
      <c r="D15" s="4">
        <f t="shared" ca="1" si="0"/>
        <v>26973</v>
      </c>
      <c r="E15" s="10" t="s">
        <v>47</v>
      </c>
    </row>
    <row r="16" spans="1:5" x14ac:dyDescent="0.25">
      <c r="A16" s="9" t="s">
        <v>28</v>
      </c>
      <c r="B16" t="s">
        <v>17</v>
      </c>
      <c r="C16" t="s">
        <v>18</v>
      </c>
      <c r="D16" s="4">
        <f t="shared" ca="1" si="0"/>
        <v>39453</v>
      </c>
      <c r="E16" s="10" t="s">
        <v>48</v>
      </c>
    </row>
    <row r="17" spans="1:5" x14ac:dyDescent="0.25">
      <c r="A17" s="9" t="s">
        <v>29</v>
      </c>
      <c r="B17" t="s">
        <v>6</v>
      </c>
      <c r="C17" t="s">
        <v>7</v>
      </c>
      <c r="D17" s="4">
        <f t="shared" ca="1" si="0"/>
        <v>46503</v>
      </c>
      <c r="E17" s="10" t="s">
        <v>49</v>
      </c>
    </row>
    <row r="18" spans="1:5" x14ac:dyDescent="0.25">
      <c r="A18" s="9" t="s">
        <v>30</v>
      </c>
      <c r="B18" t="s">
        <v>9</v>
      </c>
      <c r="C18" t="s">
        <v>10</v>
      </c>
      <c r="D18" s="4">
        <f t="shared" ca="1" si="0"/>
        <v>27780</v>
      </c>
      <c r="E18" s="10" t="s">
        <v>50</v>
      </c>
    </row>
    <row r="19" spans="1:5" x14ac:dyDescent="0.25">
      <c r="A19" s="9" t="s">
        <v>31</v>
      </c>
      <c r="B19" t="s">
        <v>12</v>
      </c>
      <c r="C19" t="s">
        <v>13</v>
      </c>
      <c r="D19" s="4">
        <f t="shared" ca="1" si="0"/>
        <v>40389</v>
      </c>
      <c r="E19" s="10" t="s">
        <v>51</v>
      </c>
    </row>
    <row r="20" spans="1:5" x14ac:dyDescent="0.25">
      <c r="A20" s="9" t="s">
        <v>32</v>
      </c>
      <c r="B20" t="s">
        <v>15</v>
      </c>
      <c r="C20" t="s">
        <v>10</v>
      </c>
      <c r="D20" s="4">
        <f t="shared" ca="1" si="0"/>
        <v>34302</v>
      </c>
      <c r="E20" s="10" t="s">
        <v>52</v>
      </c>
    </row>
    <row r="21" spans="1:5" ht="15.75" thickBot="1" x14ac:dyDescent="0.3">
      <c r="A21" s="11" t="s">
        <v>33</v>
      </c>
      <c r="B21" s="12" t="s">
        <v>17</v>
      </c>
      <c r="C21" s="12" t="s">
        <v>18</v>
      </c>
      <c r="D21" s="13">
        <f t="shared" ca="1" si="0"/>
        <v>29318</v>
      </c>
      <c r="E21" s="14" t="s">
        <v>53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7DAA3-E8AD-43FE-A5DA-A15BBF3126BB}">
  <dimension ref="A1:D22"/>
  <sheetViews>
    <sheetView zoomScale="90" zoomScaleNormal="90" workbookViewId="0">
      <selection activeCell="F10" sqref="F10"/>
    </sheetView>
  </sheetViews>
  <sheetFormatPr defaultRowHeight="15" x14ac:dyDescent="0.25"/>
  <cols>
    <col min="1" max="1" width="28.5703125" style="19" customWidth="1"/>
    <col min="2" max="2" width="10.85546875" customWidth="1"/>
    <col min="3" max="3" width="16.5703125" style="21" customWidth="1"/>
    <col min="4" max="4" width="15.7109375" customWidth="1"/>
  </cols>
  <sheetData>
    <row r="1" spans="1:4" ht="24" thickBot="1" x14ac:dyDescent="0.4">
      <c r="A1" s="22" t="s">
        <v>74</v>
      </c>
      <c r="B1" s="22"/>
      <c r="C1" s="22"/>
      <c r="D1" s="22"/>
    </row>
    <row r="2" spans="1:4" ht="35.25" thickBot="1" x14ac:dyDescent="0.3">
      <c r="A2" s="17" t="s">
        <v>54</v>
      </c>
      <c r="B2" s="15" t="s">
        <v>55</v>
      </c>
      <c r="C2" s="20" t="s">
        <v>56</v>
      </c>
      <c r="D2" s="15" t="s">
        <v>57</v>
      </c>
    </row>
    <row r="3" spans="1:4" ht="18" thickBot="1" x14ac:dyDescent="0.3">
      <c r="A3" s="18" t="s">
        <v>58</v>
      </c>
      <c r="B3" s="16" t="s">
        <v>59</v>
      </c>
      <c r="C3" s="21">
        <v>45000</v>
      </c>
      <c r="D3" s="16" t="s">
        <v>60</v>
      </c>
    </row>
    <row r="4" spans="1:4" ht="18" thickBot="1" x14ac:dyDescent="0.3">
      <c r="A4" s="18" t="s">
        <v>61</v>
      </c>
      <c r="B4" s="16" t="s">
        <v>62</v>
      </c>
      <c r="C4" s="21">
        <v>1200</v>
      </c>
      <c r="D4" s="16" t="s">
        <v>63</v>
      </c>
    </row>
    <row r="5" spans="1:4" ht="18" thickBot="1" x14ac:dyDescent="0.3">
      <c r="A5" s="18" t="s">
        <v>64</v>
      </c>
      <c r="B5" s="16" t="s">
        <v>65</v>
      </c>
      <c r="C5" s="21">
        <v>18000</v>
      </c>
      <c r="D5" s="16" t="s">
        <v>66</v>
      </c>
    </row>
    <row r="6" spans="1:4" ht="18" thickBot="1" x14ac:dyDescent="0.3">
      <c r="A6" s="18" t="s">
        <v>67</v>
      </c>
      <c r="B6" s="16" t="s">
        <v>68</v>
      </c>
      <c r="C6" s="21">
        <v>62000</v>
      </c>
      <c r="D6" s="16" t="s">
        <v>69</v>
      </c>
    </row>
    <row r="7" spans="1:4" ht="18" thickBot="1" x14ac:dyDescent="0.3">
      <c r="A7" s="18" t="s">
        <v>70</v>
      </c>
      <c r="B7" s="16" t="s">
        <v>59</v>
      </c>
      <c r="C7" s="21">
        <v>9113</v>
      </c>
      <c r="D7" s="16" t="s">
        <v>60</v>
      </c>
    </row>
    <row r="8" spans="1:4" ht="18" thickBot="1" x14ac:dyDescent="0.3">
      <c r="A8" s="18" t="s">
        <v>61</v>
      </c>
      <c r="B8" s="16" t="s">
        <v>62</v>
      </c>
      <c r="C8" s="21">
        <v>2071</v>
      </c>
      <c r="D8" s="16" t="s">
        <v>63</v>
      </c>
    </row>
    <row r="9" spans="1:4" ht="18" thickBot="1" x14ac:dyDescent="0.3">
      <c r="A9" s="18" t="s">
        <v>64</v>
      </c>
      <c r="B9" s="16" t="s">
        <v>65</v>
      </c>
      <c r="C9" s="21">
        <v>2683</v>
      </c>
      <c r="D9" s="16" t="s">
        <v>66</v>
      </c>
    </row>
    <row r="10" spans="1:4" ht="18" thickBot="1" x14ac:dyDescent="0.3">
      <c r="A10" s="18" t="s">
        <v>67</v>
      </c>
      <c r="B10" s="16" t="s">
        <v>68</v>
      </c>
      <c r="C10" s="21">
        <v>2221</v>
      </c>
      <c r="D10" s="16" t="s">
        <v>69</v>
      </c>
    </row>
    <row r="11" spans="1:4" ht="18" thickBot="1" x14ac:dyDescent="0.3">
      <c r="A11" s="18" t="s">
        <v>71</v>
      </c>
      <c r="B11" s="16" t="s">
        <v>59</v>
      </c>
      <c r="C11" s="21">
        <v>7764</v>
      </c>
      <c r="D11" s="16" t="s">
        <v>60</v>
      </c>
    </row>
    <row r="12" spans="1:4" ht="18" thickBot="1" x14ac:dyDescent="0.3">
      <c r="A12" s="18" t="s">
        <v>61</v>
      </c>
      <c r="B12" s="16" t="s">
        <v>62</v>
      </c>
      <c r="C12" s="21">
        <v>3657</v>
      </c>
      <c r="D12" s="16" t="s">
        <v>63</v>
      </c>
    </row>
    <row r="13" spans="1:4" ht="18" thickBot="1" x14ac:dyDescent="0.3">
      <c r="A13" s="18" t="s">
        <v>64</v>
      </c>
      <c r="B13" s="16" t="s">
        <v>65</v>
      </c>
      <c r="C13" s="21">
        <v>9261</v>
      </c>
      <c r="D13" s="16" t="s">
        <v>66</v>
      </c>
    </row>
    <row r="14" spans="1:4" ht="18" thickBot="1" x14ac:dyDescent="0.3">
      <c r="A14" s="18" t="s">
        <v>67</v>
      </c>
      <c r="B14" s="16" t="s">
        <v>68</v>
      </c>
      <c r="C14" s="21">
        <v>2721</v>
      </c>
      <c r="D14" s="16" t="s">
        <v>69</v>
      </c>
    </row>
    <row r="15" spans="1:4" ht="18" thickBot="1" x14ac:dyDescent="0.3">
      <c r="A15" s="18" t="s">
        <v>72</v>
      </c>
      <c r="B15" s="16" t="s">
        <v>59</v>
      </c>
      <c r="C15" s="21">
        <v>5018</v>
      </c>
      <c r="D15" s="16" t="s">
        <v>60</v>
      </c>
    </row>
    <row r="16" spans="1:4" ht="18" thickBot="1" x14ac:dyDescent="0.3">
      <c r="A16" s="18" t="s">
        <v>61</v>
      </c>
      <c r="B16" s="16" t="s">
        <v>62</v>
      </c>
      <c r="C16" s="21">
        <v>7683</v>
      </c>
      <c r="D16" s="16" t="s">
        <v>63</v>
      </c>
    </row>
    <row r="17" spans="1:4" ht="18" thickBot="1" x14ac:dyDescent="0.3">
      <c r="A17" s="18" t="s">
        <v>64</v>
      </c>
      <c r="B17" s="16" t="s">
        <v>65</v>
      </c>
      <c r="C17" s="21">
        <v>6315</v>
      </c>
      <c r="D17" s="16" t="s">
        <v>66</v>
      </c>
    </row>
    <row r="18" spans="1:4" ht="18" thickBot="1" x14ac:dyDescent="0.3">
      <c r="A18" s="18" t="s">
        <v>67</v>
      </c>
      <c r="B18" s="16" t="s">
        <v>68</v>
      </c>
      <c r="C18" s="21">
        <v>6807</v>
      </c>
      <c r="D18" s="16" t="s">
        <v>69</v>
      </c>
    </row>
    <row r="19" spans="1:4" ht="18" thickBot="1" x14ac:dyDescent="0.3">
      <c r="A19" s="18" t="s">
        <v>73</v>
      </c>
      <c r="B19" s="16" t="s">
        <v>59</v>
      </c>
      <c r="C19" s="21">
        <v>9479</v>
      </c>
      <c r="D19" s="16" t="s">
        <v>60</v>
      </c>
    </row>
    <row r="20" spans="1:4" ht="18" thickBot="1" x14ac:dyDescent="0.3">
      <c r="A20" s="18" t="s">
        <v>61</v>
      </c>
      <c r="B20" s="16" t="s">
        <v>62</v>
      </c>
      <c r="C20" s="21">
        <v>2470</v>
      </c>
      <c r="D20" s="16" t="s">
        <v>63</v>
      </c>
    </row>
    <row r="21" spans="1:4" ht="18" thickBot="1" x14ac:dyDescent="0.3">
      <c r="A21" s="18" t="s">
        <v>64</v>
      </c>
      <c r="B21" s="16" t="s">
        <v>65</v>
      </c>
      <c r="C21" s="21">
        <v>9194</v>
      </c>
      <c r="D21" s="16" t="s">
        <v>66</v>
      </c>
    </row>
    <row r="22" spans="1:4" ht="18" thickBot="1" x14ac:dyDescent="0.3">
      <c r="A22" s="18" t="s">
        <v>67</v>
      </c>
      <c r="B22" s="16" t="s">
        <v>68</v>
      </c>
      <c r="C22" s="21">
        <v>6629</v>
      </c>
      <c r="D22" s="16" t="s">
        <v>69</v>
      </c>
    </row>
  </sheetData>
  <mergeCells count="1">
    <mergeCell ref="A1:D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B33E-7A5E-4B17-BBD4-DD31EC5F7DCB}">
  <dimension ref="A1:U21"/>
  <sheetViews>
    <sheetView tabSelected="1" topLeftCell="B1" zoomScale="80" zoomScaleNormal="80" workbookViewId="0">
      <selection activeCell="U13" sqref="U13"/>
    </sheetView>
  </sheetViews>
  <sheetFormatPr defaultRowHeight="15" x14ac:dyDescent="0.25"/>
  <cols>
    <col min="2" max="2" width="15.7109375" customWidth="1"/>
    <col min="4" max="4" width="10.5703125" customWidth="1"/>
    <col min="6" max="6" width="22.7109375" style="23" customWidth="1"/>
    <col min="9" max="9" width="8.7109375" customWidth="1"/>
    <col min="10" max="10" width="12.85546875" customWidth="1"/>
    <col min="11" max="11" width="14.85546875" customWidth="1"/>
    <col min="12" max="12" width="12" customWidth="1"/>
    <col min="15" max="15" width="11" customWidth="1"/>
    <col min="16" max="16" width="9.5703125" customWidth="1"/>
    <col min="17" max="17" width="11.28515625" customWidth="1"/>
    <col min="19" max="19" width="10.42578125" customWidth="1"/>
  </cols>
  <sheetData>
    <row r="1" spans="1:21" ht="35.25" thickBot="1" x14ac:dyDescent="0.3">
      <c r="A1" s="24" t="s">
        <v>75</v>
      </c>
      <c r="B1" s="25" t="s">
        <v>76</v>
      </c>
      <c r="C1" s="25" t="s">
        <v>77</v>
      </c>
      <c r="D1" s="25" t="s">
        <v>78</v>
      </c>
      <c r="E1" s="25" t="s">
        <v>79</v>
      </c>
      <c r="F1" s="26" t="s">
        <v>80</v>
      </c>
      <c r="J1" s="34" t="s">
        <v>87</v>
      </c>
      <c r="K1" s="34" t="s">
        <v>2</v>
      </c>
      <c r="L1" s="34" t="s">
        <v>3</v>
      </c>
    </row>
    <row r="2" spans="1:21" ht="18.75" thickTop="1" thickBot="1" x14ac:dyDescent="0.3">
      <c r="A2" s="27">
        <v>1</v>
      </c>
      <c r="B2" s="16" t="s">
        <v>81</v>
      </c>
      <c r="C2" s="28">
        <v>78</v>
      </c>
      <c r="D2" s="28">
        <v>82</v>
      </c>
      <c r="E2" s="28">
        <v>74</v>
      </c>
      <c r="F2" s="29">
        <f>((C2+D2+E2)/300)*100</f>
        <v>78</v>
      </c>
      <c r="J2" s="35" t="s">
        <v>88</v>
      </c>
      <c r="K2" s="35" t="s">
        <v>94</v>
      </c>
      <c r="L2">
        <v>28000</v>
      </c>
    </row>
    <row r="3" spans="1:21" ht="18" thickBot="1" x14ac:dyDescent="0.3">
      <c r="A3" s="27">
        <v>2</v>
      </c>
      <c r="B3" s="16" t="s">
        <v>82</v>
      </c>
      <c r="C3" s="28">
        <v>65</v>
      </c>
      <c r="D3" s="28">
        <v>70</v>
      </c>
      <c r="E3" s="28">
        <v>68</v>
      </c>
      <c r="F3" s="29">
        <f t="shared" ref="F3:F21" si="0">((C3+D3+E3)/300)*100</f>
        <v>67.666666666666657</v>
      </c>
      <c r="J3" s="35" t="s">
        <v>89</v>
      </c>
      <c r="K3" s="35" t="s">
        <v>10</v>
      </c>
      <c r="L3">
        <v>45000</v>
      </c>
    </row>
    <row r="4" spans="1:21" ht="18" thickBot="1" x14ac:dyDescent="0.3">
      <c r="A4" s="27">
        <v>3</v>
      </c>
      <c r="B4" s="16" t="s">
        <v>83</v>
      </c>
      <c r="C4" s="28">
        <v>90</v>
      </c>
      <c r="D4" s="28">
        <v>88</v>
      </c>
      <c r="E4" s="28">
        <v>92</v>
      </c>
      <c r="F4" s="29">
        <f t="shared" si="0"/>
        <v>90</v>
      </c>
      <c r="J4" s="35" t="s">
        <v>90</v>
      </c>
      <c r="K4" s="35" t="s">
        <v>10</v>
      </c>
      <c r="L4">
        <v>50000</v>
      </c>
      <c r="O4" s="35" t="s">
        <v>88</v>
      </c>
      <c r="P4" s="35" t="s">
        <v>94</v>
      </c>
      <c r="Q4">
        <v>28000</v>
      </c>
    </row>
    <row r="5" spans="1:21" ht="18" thickBot="1" x14ac:dyDescent="0.3">
      <c r="A5" s="27">
        <v>4</v>
      </c>
      <c r="B5" s="16" t="s">
        <v>84</v>
      </c>
      <c r="C5" s="28">
        <v>35</v>
      </c>
      <c r="D5" s="28">
        <v>40</v>
      </c>
      <c r="E5" s="28">
        <v>38</v>
      </c>
      <c r="F5" s="29">
        <f t="shared" si="0"/>
        <v>37.666666666666664</v>
      </c>
      <c r="J5" s="35" t="s">
        <v>91</v>
      </c>
      <c r="K5" s="35" t="s">
        <v>13</v>
      </c>
      <c r="L5">
        <v>42000</v>
      </c>
      <c r="O5" s="35" t="s">
        <v>92</v>
      </c>
      <c r="P5" s="35" t="s">
        <v>7</v>
      </c>
      <c r="Q5">
        <v>30000</v>
      </c>
      <c r="S5" s="35" t="s">
        <v>89</v>
      </c>
      <c r="T5" s="35" t="s">
        <v>10</v>
      </c>
      <c r="U5">
        <v>45000</v>
      </c>
    </row>
    <row r="6" spans="1:21" ht="18" thickBot="1" x14ac:dyDescent="0.3">
      <c r="A6" s="27">
        <v>5</v>
      </c>
      <c r="B6" s="16" t="s">
        <v>85</v>
      </c>
      <c r="C6" s="28">
        <v>55</v>
      </c>
      <c r="D6" s="28">
        <v>60</v>
      </c>
      <c r="E6" s="28">
        <v>58</v>
      </c>
      <c r="F6" s="29">
        <f t="shared" si="0"/>
        <v>57.666666666666664</v>
      </c>
      <c r="J6" s="35" t="s">
        <v>92</v>
      </c>
      <c r="K6" s="35" t="s">
        <v>7</v>
      </c>
      <c r="L6">
        <v>30000</v>
      </c>
      <c r="O6" s="35" t="s">
        <v>88</v>
      </c>
      <c r="P6" s="35" t="s">
        <v>7</v>
      </c>
      <c r="Q6">
        <v>54524</v>
      </c>
      <c r="S6" s="35" t="s">
        <v>90</v>
      </c>
      <c r="T6" s="35" t="s">
        <v>10</v>
      </c>
      <c r="U6">
        <v>50000</v>
      </c>
    </row>
    <row r="7" spans="1:21" ht="18" thickBot="1" x14ac:dyDescent="0.3">
      <c r="A7" s="27">
        <v>6</v>
      </c>
      <c r="B7" s="16" t="s">
        <v>81</v>
      </c>
      <c r="C7" s="28">
        <v>36</v>
      </c>
      <c r="D7" s="28">
        <v>36</v>
      </c>
      <c r="E7" s="28">
        <v>27</v>
      </c>
      <c r="F7" s="29">
        <f t="shared" si="0"/>
        <v>33</v>
      </c>
      <c r="J7" s="35" t="s">
        <v>93</v>
      </c>
      <c r="K7" s="35" t="s">
        <v>13</v>
      </c>
      <c r="L7">
        <v>38000</v>
      </c>
      <c r="O7" s="35" t="s">
        <v>92</v>
      </c>
      <c r="P7" s="35" t="s">
        <v>7</v>
      </c>
      <c r="Q7">
        <v>47614</v>
      </c>
      <c r="S7" s="35" t="s">
        <v>89</v>
      </c>
      <c r="T7" s="35" t="s">
        <v>10</v>
      </c>
      <c r="U7">
        <v>59613</v>
      </c>
    </row>
    <row r="8" spans="1:21" ht="18" thickBot="1" x14ac:dyDescent="0.3">
      <c r="A8" s="27">
        <v>7</v>
      </c>
      <c r="B8" s="16" t="s">
        <v>82</v>
      </c>
      <c r="C8" s="28">
        <v>51</v>
      </c>
      <c r="D8" s="28">
        <v>43</v>
      </c>
      <c r="E8" s="28">
        <v>47</v>
      </c>
      <c r="F8" s="29">
        <f t="shared" si="0"/>
        <v>47</v>
      </c>
      <c r="J8" s="35" t="s">
        <v>88</v>
      </c>
      <c r="K8" s="35" t="s">
        <v>7</v>
      </c>
      <c r="L8">
        <v>54524</v>
      </c>
      <c r="O8" s="35" t="s">
        <v>88</v>
      </c>
      <c r="P8" s="35" t="s">
        <v>7</v>
      </c>
      <c r="Q8">
        <v>56063</v>
      </c>
      <c r="S8" s="35" t="s">
        <v>90</v>
      </c>
      <c r="T8" s="35" t="s">
        <v>10</v>
      </c>
      <c r="U8">
        <v>49390</v>
      </c>
    </row>
    <row r="9" spans="1:21" ht="18" thickBot="1" x14ac:dyDescent="0.3">
      <c r="A9" s="27">
        <v>8</v>
      </c>
      <c r="B9" s="16" t="s">
        <v>83</v>
      </c>
      <c r="C9" s="28">
        <v>92</v>
      </c>
      <c r="D9" s="28">
        <v>70</v>
      </c>
      <c r="E9" s="28">
        <v>96</v>
      </c>
      <c r="F9" s="29">
        <f t="shared" si="0"/>
        <v>86</v>
      </c>
      <c r="J9" s="35" t="s">
        <v>89</v>
      </c>
      <c r="K9" s="35" t="s">
        <v>10</v>
      </c>
      <c r="L9">
        <v>59613</v>
      </c>
      <c r="O9" s="35" t="s">
        <v>92</v>
      </c>
      <c r="P9" s="35" t="s">
        <v>7</v>
      </c>
      <c r="Q9">
        <v>47483</v>
      </c>
      <c r="S9" s="35" t="s">
        <v>89</v>
      </c>
      <c r="T9" s="35" t="s">
        <v>10</v>
      </c>
      <c r="U9">
        <v>31298</v>
      </c>
    </row>
    <row r="10" spans="1:21" ht="18" thickBot="1" x14ac:dyDescent="0.3">
      <c r="A10" s="27">
        <v>9</v>
      </c>
      <c r="B10" s="16" t="s">
        <v>84</v>
      </c>
      <c r="C10" s="28">
        <v>28</v>
      </c>
      <c r="D10" s="28">
        <v>94</v>
      </c>
      <c r="E10" s="28">
        <v>41</v>
      </c>
      <c r="F10" s="29">
        <f t="shared" si="0"/>
        <v>54.333333333333336</v>
      </c>
      <c r="J10" s="35" t="s">
        <v>90</v>
      </c>
      <c r="K10" s="35" t="s">
        <v>10</v>
      </c>
      <c r="L10">
        <v>49390</v>
      </c>
      <c r="O10" s="35" t="s">
        <v>88</v>
      </c>
      <c r="P10" s="35" t="s">
        <v>7</v>
      </c>
      <c r="Q10">
        <v>54377</v>
      </c>
      <c r="S10" s="35" t="s">
        <v>90</v>
      </c>
      <c r="T10" s="35" t="s">
        <v>10</v>
      </c>
      <c r="U10">
        <v>45248</v>
      </c>
    </row>
    <row r="11" spans="1:21" ht="18" thickBot="1" x14ac:dyDescent="0.3">
      <c r="A11" s="27">
        <v>10</v>
      </c>
      <c r="B11" s="16" t="s">
        <v>85</v>
      </c>
      <c r="C11" s="28">
        <v>76</v>
      </c>
      <c r="D11" s="28">
        <v>36</v>
      </c>
      <c r="E11" s="28">
        <v>49</v>
      </c>
      <c r="F11" s="29">
        <f t="shared" si="0"/>
        <v>53.666666666666664</v>
      </c>
      <c r="J11" s="35" t="s">
        <v>91</v>
      </c>
      <c r="K11" s="35" t="s">
        <v>13</v>
      </c>
      <c r="L11">
        <v>61548</v>
      </c>
      <c r="Q11">
        <f>SUM(Q4:Q10)</f>
        <v>318061</v>
      </c>
      <c r="S11" s="35" t="s">
        <v>89</v>
      </c>
      <c r="T11" s="35" t="s">
        <v>10</v>
      </c>
      <c r="U11">
        <v>56005</v>
      </c>
    </row>
    <row r="12" spans="1:21" ht="18" thickBot="1" x14ac:dyDescent="0.3">
      <c r="A12" s="27">
        <v>11</v>
      </c>
      <c r="B12" s="16" t="s">
        <v>81</v>
      </c>
      <c r="C12" s="28">
        <v>70</v>
      </c>
      <c r="D12" s="28">
        <v>79</v>
      </c>
      <c r="E12" s="28">
        <v>46</v>
      </c>
      <c r="F12" s="29">
        <f t="shared" si="0"/>
        <v>65</v>
      </c>
      <c r="J12" s="35" t="s">
        <v>92</v>
      </c>
      <c r="K12" s="35" t="s">
        <v>7</v>
      </c>
      <c r="L12">
        <v>47614</v>
      </c>
      <c r="U12">
        <f ca="1">SUM(U5:U12)</f>
        <v>0</v>
      </c>
    </row>
    <row r="13" spans="1:21" ht="18" thickBot="1" x14ac:dyDescent="0.3">
      <c r="A13" s="27">
        <v>12</v>
      </c>
      <c r="B13" s="16" t="s">
        <v>82</v>
      </c>
      <c r="C13" s="28">
        <v>79</v>
      </c>
      <c r="D13" s="28">
        <v>78</v>
      </c>
      <c r="E13" s="28">
        <v>33</v>
      </c>
      <c r="F13" s="29">
        <f t="shared" si="0"/>
        <v>63.333333333333329</v>
      </c>
      <c r="J13" s="35" t="s">
        <v>93</v>
      </c>
      <c r="K13" s="35" t="s">
        <v>13</v>
      </c>
      <c r="L13">
        <v>48476</v>
      </c>
      <c r="U13" t="s">
        <v>95</v>
      </c>
    </row>
    <row r="14" spans="1:21" ht="18" thickBot="1" x14ac:dyDescent="0.3">
      <c r="A14" s="27">
        <v>13</v>
      </c>
      <c r="B14" s="16" t="s">
        <v>83</v>
      </c>
      <c r="C14" s="28">
        <v>81</v>
      </c>
      <c r="D14" s="28">
        <v>30</v>
      </c>
      <c r="E14" s="28">
        <v>70</v>
      </c>
      <c r="F14" s="29">
        <f t="shared" si="0"/>
        <v>60.333333333333336</v>
      </c>
      <c r="J14" s="35" t="s">
        <v>88</v>
      </c>
      <c r="K14" s="35" t="s">
        <v>7</v>
      </c>
      <c r="L14">
        <v>56063</v>
      </c>
    </row>
    <row r="15" spans="1:21" ht="18" thickBot="1" x14ac:dyDescent="0.3">
      <c r="A15" s="27">
        <v>14</v>
      </c>
      <c r="B15" s="16" t="s">
        <v>84</v>
      </c>
      <c r="C15" s="28">
        <v>73</v>
      </c>
      <c r="D15" s="28">
        <v>79</v>
      </c>
      <c r="E15" s="28">
        <v>69</v>
      </c>
      <c r="F15" s="29">
        <f t="shared" si="0"/>
        <v>73.666666666666671</v>
      </c>
      <c r="J15" s="35" t="s">
        <v>89</v>
      </c>
      <c r="K15" s="35" t="s">
        <v>10</v>
      </c>
      <c r="L15">
        <v>31298</v>
      </c>
    </row>
    <row r="16" spans="1:21" ht="18" thickBot="1" x14ac:dyDescent="0.3">
      <c r="A16" s="27">
        <v>15</v>
      </c>
      <c r="B16" s="16" t="s">
        <v>85</v>
      </c>
      <c r="C16" s="28">
        <v>46</v>
      </c>
      <c r="D16" s="28">
        <v>40</v>
      </c>
      <c r="E16" s="28">
        <v>84</v>
      </c>
      <c r="F16" s="29">
        <f t="shared" si="0"/>
        <v>56.666666666666664</v>
      </c>
      <c r="J16" s="35" t="s">
        <v>90</v>
      </c>
      <c r="K16" s="35" t="s">
        <v>10</v>
      </c>
      <c r="L16">
        <v>45248</v>
      </c>
    </row>
    <row r="17" spans="1:12" ht="18" thickBot="1" x14ac:dyDescent="0.3">
      <c r="A17" s="27">
        <v>16</v>
      </c>
      <c r="B17" s="16" t="s">
        <v>81</v>
      </c>
      <c r="C17" s="28">
        <v>48</v>
      </c>
      <c r="D17" s="28">
        <v>64</v>
      </c>
      <c r="E17" s="28">
        <v>90</v>
      </c>
      <c r="F17" s="29">
        <f t="shared" si="0"/>
        <v>67.333333333333329</v>
      </c>
      <c r="J17" s="35" t="s">
        <v>91</v>
      </c>
      <c r="K17" s="35" t="s">
        <v>13</v>
      </c>
      <c r="L17">
        <v>47986</v>
      </c>
    </row>
    <row r="18" spans="1:12" ht="18" thickBot="1" x14ac:dyDescent="0.3">
      <c r="A18" s="27">
        <v>17</v>
      </c>
      <c r="B18" s="16" t="s">
        <v>82</v>
      </c>
      <c r="C18" s="28">
        <v>91</v>
      </c>
      <c r="D18" s="28">
        <v>85</v>
      </c>
      <c r="E18" s="28">
        <v>94</v>
      </c>
      <c r="F18" s="29">
        <f t="shared" si="0"/>
        <v>90</v>
      </c>
      <c r="J18" s="35" t="s">
        <v>92</v>
      </c>
      <c r="K18" s="35" t="s">
        <v>7</v>
      </c>
      <c r="L18">
        <v>47483</v>
      </c>
    </row>
    <row r="19" spans="1:12" ht="18" thickBot="1" x14ac:dyDescent="0.3">
      <c r="A19" s="27">
        <v>18</v>
      </c>
      <c r="B19" s="16" t="s">
        <v>83</v>
      </c>
      <c r="C19" s="28">
        <v>79</v>
      </c>
      <c r="D19" s="28">
        <v>77</v>
      </c>
      <c r="E19" s="28">
        <v>85</v>
      </c>
      <c r="F19" s="29">
        <f t="shared" si="0"/>
        <v>80.333333333333329</v>
      </c>
      <c r="J19" s="35" t="s">
        <v>93</v>
      </c>
      <c r="K19" s="35" t="s">
        <v>13</v>
      </c>
      <c r="L19">
        <v>59819</v>
      </c>
    </row>
    <row r="20" spans="1:12" ht="18" thickBot="1" x14ac:dyDescent="0.3">
      <c r="A20" s="27">
        <v>19</v>
      </c>
      <c r="B20" s="16" t="s">
        <v>84</v>
      </c>
      <c r="C20" s="28">
        <v>50</v>
      </c>
      <c r="D20" s="28">
        <v>64</v>
      </c>
      <c r="E20" s="28">
        <v>93</v>
      </c>
      <c r="F20" s="29">
        <f t="shared" si="0"/>
        <v>69</v>
      </c>
      <c r="J20" s="35" t="s">
        <v>88</v>
      </c>
      <c r="K20" s="35" t="s">
        <v>7</v>
      </c>
      <c r="L20">
        <v>54377</v>
      </c>
    </row>
    <row r="21" spans="1:12" ht="18" thickBot="1" x14ac:dyDescent="0.3">
      <c r="A21" s="30">
        <v>20</v>
      </c>
      <c r="B21" s="31" t="s">
        <v>85</v>
      </c>
      <c r="C21" s="12">
        <v>46</v>
      </c>
      <c r="D21" s="12">
        <v>47</v>
      </c>
      <c r="E21" s="12">
        <v>49</v>
      </c>
      <c r="F21" s="32">
        <f t="shared" si="0"/>
        <v>47.333333333333336</v>
      </c>
      <c r="J21" s="35" t="s">
        <v>89</v>
      </c>
      <c r="K21" s="35" t="s">
        <v>10</v>
      </c>
      <c r="L21">
        <v>56005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1F20-3D0C-41E8-BF21-823053CF2879}">
  <dimension ref="A1"/>
  <sheetViews>
    <sheetView zoomScale="110" zoomScaleNormal="110" workbookViewId="0"/>
  </sheetViews>
  <sheetFormatPr defaultRowHeight="15" x14ac:dyDescent="0.25"/>
  <sheetData>
    <row r="1" spans="1:1" ht="315" x14ac:dyDescent="0.25">
      <c r="A1" s="33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Mukesh Gohel</dc:creator>
  <cp:lastModifiedBy>Mukesh Gohel</cp:lastModifiedBy>
  <dcterms:created xsi:type="dcterms:W3CDTF">2026-07-04T08:23:41Z</dcterms:created>
  <dcterms:modified xsi:type="dcterms:W3CDTF">2026-07-04T09:59:07Z</dcterms:modified>
</cp:coreProperties>
</file>