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982\Desktop\New folder\"/>
    </mc:Choice>
  </mc:AlternateContent>
  <xr:revisionPtr revIDLastSave="0" documentId="8_{0432281D-684F-4F92-BCE3-5A6D35E78FF9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  <sheet name="Sheet4" sheetId="9" r:id="rId7"/>
  </sheets>
  <definedNames>
    <definedName name="_xlnm._FilterDatabase" localSheetId="5" hidden="1">answers!$A$1:$M$10</definedName>
  </definedNames>
  <calcPr calcId="191029"/>
  <pivotCaches>
    <pivotCache cacheId="12" r:id="rId8"/>
    <pivotCache cacheId="1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/>
  <c r="I4" i="6"/>
  <c r="I5" i="6"/>
  <c r="I2" i="6"/>
  <c r="E8" i="6"/>
  <c r="C3" i="6"/>
  <c r="C4" i="6"/>
  <c r="C5" i="6"/>
  <c r="C2" i="6"/>
  <c r="O22" i="6"/>
  <c r="O23" i="6"/>
  <c r="O24" i="6"/>
  <c r="O25" i="6"/>
  <c r="O21" i="6"/>
  <c r="H26" i="6"/>
  <c r="N22" i="6"/>
  <c r="N23" i="6"/>
  <c r="N24" i="6"/>
  <c r="N25" i="6"/>
  <c r="N21" i="6"/>
  <c r="M21" i="6" a="1"/>
  <c r="M21" i="6" s="1"/>
  <c r="J26" i="6"/>
  <c r="K22" i="6"/>
  <c r="K23" i="6"/>
  <c r="K24" i="6"/>
  <c r="K25" i="6"/>
  <c r="K21" i="6"/>
  <c r="F5" i="6"/>
  <c r="F4" i="6"/>
  <c r="F3" i="6"/>
  <c r="F2" i="6"/>
  <c r="O3" i="6"/>
  <c r="O4" i="6"/>
  <c r="O5" i="6"/>
  <c r="O6" i="6"/>
  <c r="O7" i="6"/>
  <c r="O2" i="6"/>
  <c r="H3" i="2"/>
  <c r="H4" i="2"/>
  <c r="H5" i="2"/>
  <c r="H6" i="2"/>
  <c r="H7" i="2"/>
  <c r="H2" i="2"/>
  <c r="P3" i="6"/>
  <c r="P4" i="6"/>
  <c r="P5" i="6"/>
  <c r="P6" i="6"/>
  <c r="P7" i="6"/>
  <c r="P2" i="6"/>
  <c r="R4" i="6"/>
  <c r="R5" i="6"/>
  <c r="A8" i="6"/>
  <c r="K3" i="6"/>
  <c r="K4" i="6"/>
  <c r="L4" i="6" s="1"/>
  <c r="K5" i="6"/>
  <c r="L5" i="6" s="1"/>
  <c r="K2" i="6"/>
  <c r="R2" i="6" s="1"/>
  <c r="J32" i="5"/>
  <c r="L21" i="6" l="1"/>
  <c r="K26" i="6"/>
  <c r="M4" i="6"/>
  <c r="N7" i="6"/>
  <c r="L2" i="6"/>
  <c r="M2" i="6" s="1"/>
  <c r="R3" i="6"/>
  <c r="L3" i="6"/>
  <c r="M5" i="6"/>
  <c r="N4" i="6" s="1"/>
  <c r="M3" i="6" l="1"/>
  <c r="N3" i="6" s="1"/>
  <c r="N6" i="6"/>
  <c r="M8" i="6" l="1"/>
  <c r="N2" i="6" s="1"/>
  <c r="M9" i="6"/>
  <c r="N5" i="6" s="1"/>
  <c r="M10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<sst xmlns="http://schemas.openxmlformats.org/spreadsheetml/2006/main" count="172" uniqueCount="102">
  <si>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</si>
  <si>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</si>
  <si>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</si>
  <si>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</si>
  <si>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</si>
  <si>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</si>
  <si>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</si>
  <si>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</si>
  <si>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</si>
  <si>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</si>
  <si>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</si>
  <si>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</si>
  <si>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</si>
  <si>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</si>
  <si>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</si>
  <si>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</si>
  <si>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</si>
  <si>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</si>
  <si>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</si>
  <si>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</si>
  <si>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</si>
  <si>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</si>
  <si>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</si>
  <si>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</si>
  <si>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</si>
  <si>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</si>
  <si>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</si>
  <si>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</si>
  <si>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</si>
  <si>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</si>
  <si>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</si>
  <si>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</si>
  <si>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</si>
  <si>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</si>
  <si>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</si>
  <si>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</si>
  <si>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</si>
  <si>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</si>
  <si>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</si>
  <si>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</si>
  <si>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</si>
  <si>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</si>
  <si>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</si>
  <si>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</si>
  <si>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</si>
  <si>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</si>
  <si>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</si>
  <si>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</si>
  <si>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</si>
  <si>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</si>
  <si>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</si>
  <si>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</si>
  <si>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</si>
  <si>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</si>
  <si>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</si>
  <si>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</si>
  <si>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</si>
  <si>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</si>
  <si>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</si>
  <si>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</si>
  <si>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</si>
  <si>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</si>
  <si>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</si>
  <si>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</si>
  <si>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</si>
  <si>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</si>
  <si>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</si>
  <si>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</si>
  <si>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</si>
  <si>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</si>
  <si>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</si>
  <si>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</si>
  <si>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</si>
  <si>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</si>
  <si>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 xml:space="preserve"> </t>
  </si>
  <si>
    <t>GST AMOUNT</t>
  </si>
  <si>
    <t>FINAL AMOUNT</t>
  </si>
  <si>
    <t>(GRAND TOTAL)</t>
  </si>
  <si>
    <t>(TOTAL ORDER)</t>
  </si>
  <si>
    <t>REGION</t>
  </si>
  <si>
    <t>SALES AMOUNT</t>
  </si>
  <si>
    <t>NORTH</t>
  </si>
  <si>
    <t>SOUTH</t>
  </si>
  <si>
    <t>WEST</t>
  </si>
  <si>
    <t>EAST</t>
  </si>
  <si>
    <t>LOW OR HIGH</t>
  </si>
  <si>
    <t>MAX/MIN AMOUNT</t>
  </si>
  <si>
    <t>(MAX AMOUNT)</t>
  </si>
  <si>
    <t>(MIN AMOUNT)</t>
  </si>
  <si>
    <t>MONTH</t>
  </si>
  <si>
    <t>average</t>
  </si>
  <si>
    <t>topper name</t>
  </si>
  <si>
    <t>(attendence&gt;90)</t>
  </si>
  <si>
    <t xml:space="preserve"> Eligiblity</t>
  </si>
  <si>
    <t>Row Labels</t>
  </si>
  <si>
    <t>Grand Total</t>
  </si>
  <si>
    <t>Sum of FINAL AMOUNT</t>
  </si>
  <si>
    <t>median</t>
  </si>
  <si>
    <t>(std deviation)</t>
  </si>
  <si>
    <t>student id and name</t>
  </si>
  <si>
    <t>2 st name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</si>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</sst>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0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1" fillId="0" borderId="1" xfId="0" applyNumberFormat="1" applyFont="1" applyBorder="1"/>
    <xf numFmtId="10" fontId="0" fillId="0" borderId="1" xfId="0" applyNumberFormat="1" applyBorder="1"/>
    <xf numFmtId="0" fontId="0" fillId="4" borderId="1" xfId="0" applyFill="1" applyBorder="1"/>
    <xf numFmtId="10" fontId="0" fillId="3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9550617357115"/>
          <c:y val="0.21972051862369557"/>
          <c:w val="0.8450449382642885"/>
          <c:h val="0.642853344578016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answers!$J$13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answers!$H$14:$H$18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answers!$J$14:$J$18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0-4332-8B42-F77114414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457120"/>
        <c:axId val="984445600"/>
      </c:barChart>
      <c:catAx>
        <c:axId val="9844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45600"/>
        <c:crosses val="autoZero"/>
        <c:auto val="1"/>
        <c:lblAlgn val="ctr"/>
        <c:lblOffset val="100"/>
        <c:noMultiLvlLbl val="0"/>
      </c:catAx>
      <c:valAx>
        <c:axId val="9844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45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answer sheet of assessment.xlsx]Sheet4!PivotTable4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46981627296587"/>
          <c:y val="0.2586552201808106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Sheet4!$A$25:$A$28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Sheet4!$B$25:$B$28</c:f>
              <c:numCache>
                <c:formatCode>General</c:formatCode>
                <c:ptCount val="3"/>
                <c:pt idx="0">
                  <c:v>265500</c:v>
                </c:pt>
                <c:pt idx="1">
                  <c:v>151200</c:v>
                </c:pt>
                <c:pt idx="2">
                  <c:v>60480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7-428A-9428-6F9703267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332672"/>
        <c:axId val="854327872"/>
      </c:barChart>
      <c:catAx>
        <c:axId val="8543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27872"/>
        <c:crosses val="autoZero"/>
        <c:auto val="1"/>
        <c:lblAlgn val="ctr"/>
        <c:lblOffset val="100"/>
        <c:noMultiLvlLbl val="0"/>
      </c:catAx>
      <c:valAx>
        <c:axId val="85432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33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115067</xdr:colOff>
      <xdr:row>15</xdr:row>
      <xdr:rowOff>132966</xdr:rowOff>
    </xdr:from>
    <xdr:to>
      <xdr:col>20</xdr:col>
      <xdr:colOff>536979</xdr:colOff>
      <xdr:row>27</xdr:row>
      <xdr:rowOff>67506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3E8132-23E7-939A-33F1-722C0E57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19</xdr:row>
      <xdr:rowOff>91440</xdr:rowOff>
    </xdr:from>
    <xdr:to>
      <xdr:col>8</xdr:col>
      <xdr:colOff>1318260</xdr:colOff>
      <xdr:row>32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B8A7F-2C43-2742-7393-578187DA3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kaj Jha" refreshedDate="46229.503447800926" createdVersion="8" refreshedVersion="8" minRefreshableVersion="3" recordCount="6" xr:uid="{2948F300-41E0-4F52-9BF5-F4687434B636}">
  <cacheSource type="worksheet">
    <worksheetSource ref="D1:M7" sheet="answers"/>
  </cacheSource>
  <cacheFields count="9"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GST AMOUNT" numFmtId="0">
      <sharedItems containsSemiMixedTypes="0" containsString="0" containsNumber="1" containsInteger="1" minValue="6480" maxValue="16200"/>
    </cacheField>
    <cacheField name="FINAL 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kaj Jha" refreshedDate="46229.505200462962" createdVersion="8" refreshedVersion="8" minRefreshableVersion="3" recordCount="6" xr:uid="{68720DFE-8239-4277-BD4B-67D93752DF53}">
  <cacheSource type="worksheet">
    <worksheetSource ref="A1:M7" sheet="answers"/>
  </cacheSource>
  <cacheFields count="11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GST AMOUNT" numFmtId="0">
      <sharedItems containsSemiMixedTypes="0" containsString="0" containsNumber="1" containsInteger="1" minValue="6480" maxValue="16200"/>
    </cacheField>
    <cacheField name="FINAL AMOUNT" numFmtId="0">
      <sharedItems containsSemiMixedTypes="0" containsString="0" containsNumber="1" containsInteger="1" minValue="53100" maxValue="106200" count="5">
        <n v="106200"/>
        <n v="84000"/>
        <n v="60480"/>
        <n v="53100"/>
        <n v="67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mit"/>
    <x v="0"/>
    <s v="Electronics"/>
    <n v="2"/>
    <n v="45000"/>
    <s v="05-01-2025"/>
    <n v="90000"/>
    <n v="16200"/>
    <n v="106200"/>
  </r>
  <r>
    <s v="Riya"/>
    <x v="1"/>
    <s v="Electronics"/>
    <n v="5"/>
    <n v="15000"/>
    <s v="07-01-2025"/>
    <n v="75000"/>
    <n v="9000"/>
    <n v="84000"/>
  </r>
  <r>
    <s v="Kunal"/>
    <x v="2"/>
    <s v="Electronics"/>
    <n v="3"/>
    <n v="18000"/>
    <s v="10-01-2025"/>
    <n v="54000"/>
    <n v="6480"/>
    <n v="60480"/>
  </r>
  <r>
    <s v="Neha"/>
    <x v="0"/>
    <s v="Electronics"/>
    <n v="1"/>
    <n v="45000"/>
    <s v="12-01-2025"/>
    <n v="45000"/>
    <n v="8100"/>
    <n v="53100"/>
  </r>
  <r>
    <s v="Amit"/>
    <x v="1"/>
    <s v="Electronics"/>
    <n v="4"/>
    <n v="15000"/>
    <s v="15-01-2025"/>
    <n v="60000"/>
    <n v="7200"/>
    <n v="67200"/>
  </r>
  <r>
    <s v="Riya"/>
    <x v="0"/>
    <s v="Electronics"/>
    <n v="2"/>
    <n v="45000"/>
    <s v="18-01-2025"/>
    <n v="90000"/>
    <n v="16200"/>
    <n v="106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s v="Electronics"/>
    <n v="2"/>
    <n v="45000"/>
    <s v="05-01-2025"/>
    <n v="90000"/>
    <n v="16200"/>
    <x v="0"/>
  </r>
  <r>
    <n v="302"/>
    <x v="1"/>
    <s v="Riya"/>
    <x v="1"/>
    <s v="Electronics"/>
    <n v="5"/>
    <n v="15000"/>
    <s v="07-01-2025"/>
    <n v="75000"/>
    <n v="9000"/>
    <x v="1"/>
  </r>
  <r>
    <n v="303"/>
    <x v="2"/>
    <s v="Kunal"/>
    <x v="2"/>
    <s v="Electronics"/>
    <n v="3"/>
    <n v="18000"/>
    <s v="10-01-2025"/>
    <n v="54000"/>
    <n v="6480"/>
    <x v="2"/>
  </r>
  <r>
    <n v="304"/>
    <x v="3"/>
    <s v="Neha"/>
    <x v="0"/>
    <s v="Electronics"/>
    <n v="1"/>
    <n v="45000"/>
    <s v="12-01-2025"/>
    <n v="45000"/>
    <n v="8100"/>
    <x v="3"/>
  </r>
  <r>
    <n v="305"/>
    <x v="0"/>
    <s v="Amit"/>
    <x v="1"/>
    <s v="Electronics"/>
    <n v="4"/>
    <n v="15000"/>
    <s v="15-01-2025"/>
    <n v="60000"/>
    <n v="7200"/>
    <x v="4"/>
  </r>
  <r>
    <n v="306"/>
    <x v="1"/>
    <s v="Riya"/>
    <x v="0"/>
    <s v="Electronics"/>
    <n v="2"/>
    <n v="45000"/>
    <s v="18-01-2025"/>
    <n v="90000"/>
    <n v="162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13078-A5A4-4F34-B995-EC5853A6E012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4:B28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6">
        <item x="3"/>
        <item x="2"/>
        <item x="4"/>
        <item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8B48A-9BE2-4067-9BF4-3F1B3D5B8882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I14" firstHeaderRow="1" firstDataRow="1" firstDataCol="1"/>
  <pivotFields count="11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111C1-BAB5-4D54-938E-65F21418A8F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zoomScale="176" workbookViewId="0">
      <selection activeCell="C1" sqref="C1:G7"/>
    </sheetView>
  </sheetViews>
  <sheetFormatPr defaultRowHeight="14.4" x14ac:dyDescent="0.3"/>
  <cols>
    <col min="3" max="3" width="10.33203125" customWidth="1"/>
    <col min="7" max="7" width="10.4414062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74</v>
      </c>
    </row>
    <row r="2" spans="1:8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 t="str">
        <f>TEXT(G2,"mmm")</f>
        <v>Jan</v>
      </c>
    </row>
    <row r="3" spans="1:8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 t="str">
        <f t="shared" ref="H3:H7" si="0">TEXT(G3,"mmm")</f>
        <v>Jan</v>
      </c>
    </row>
    <row r="4" spans="1:8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 t="str">
        <f t="shared" si="0"/>
        <v>Jan</v>
      </c>
    </row>
    <row r="5" spans="1:8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 t="str">
        <f t="shared" si="0"/>
        <v>Jan</v>
      </c>
    </row>
    <row r="6" spans="1:8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 t="str">
        <f t="shared" si="0"/>
        <v>Jan</v>
      </c>
    </row>
    <row r="7" spans="1:8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 t="str">
        <f t="shared" si="0"/>
        <v>Jan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11" sqref="D11"/>
    </sheetView>
  </sheetViews>
  <sheetFormatPr defaultRowHeight="14.4" x14ac:dyDescent="0.3"/>
  <cols>
    <col min="2" max="2" width="12" customWidth="1"/>
  </cols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H16" sqref="H16"/>
    </sheetView>
  </sheetViews>
  <sheetFormatPr defaultRowHeight="14.4" x14ac:dyDescent="0.3"/>
  <cols>
    <col min="1" max="1" width="10.77734375" customWidth="1"/>
    <col min="6" max="6" width="15.21875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algorithmName="SHA-512" hashValue="RYO4DdFnuU4u6isZamJy51I+j9mIN3dey8zMye9j1VtwXlOiyw+ali1joSN1EWiAQqmcNdzF0xLo8vRAKtHd1Q==" saltValue="QPh1MKliYEC3uaoJkaBQSw==" spinCount="100000" sheet="1" objects="1" scenarios="1" formatCells="0" formatColumns="0" formatRows="0" insertColumns="0" selectLockedCells="1" sort="0" selectUnlockedCell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zoomScale="160" zoomScaleNormal="150" workbookViewId="0">
      <selection activeCell="C40" sqref="C4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99DE-A858-4014-9F31-A7FE933A33F8}">
  <dimension ref="A1:S27"/>
  <sheetViews>
    <sheetView tabSelected="1" zoomScale="149" zoomScaleNormal="130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4" max="4" width="10.5546875" customWidth="1"/>
    <col min="6" max="6" width="9.6640625" customWidth="1"/>
    <col min="8" max="9" width="9.33203125" customWidth="1"/>
    <col min="10" max="10" width="13.88671875" customWidth="1"/>
    <col min="11" max="11" width="11.33203125" customWidth="1"/>
    <col min="12" max="12" width="14.6640625" customWidth="1"/>
    <col min="13" max="13" width="14.44140625" customWidth="1"/>
    <col min="14" max="14" width="17" customWidth="1"/>
    <col min="16" max="16" width="12.44140625" customWidth="1"/>
    <col min="17" max="17" width="9.109375" customWidth="1"/>
    <col min="18" max="18" width="14.21875" customWidth="1"/>
  </cols>
  <sheetData>
    <row r="1" spans="1:19" x14ac:dyDescent="0.3">
      <c r="A1" s="2" t="s">
        <v>4</v>
      </c>
      <c r="B1" s="2" t="s">
        <v>5</v>
      </c>
      <c r="C1" s="2" t="s">
        <v>100</v>
      </c>
      <c r="D1" s="2" t="s">
        <v>6</v>
      </c>
      <c r="E1" s="2" t="s">
        <v>7</v>
      </c>
      <c r="F1" s="2" t="s">
        <v>28</v>
      </c>
      <c r="G1" s="2" t="s">
        <v>8</v>
      </c>
      <c r="H1" s="2" t="s">
        <v>101</v>
      </c>
      <c r="I1" s="2"/>
      <c r="J1" s="2" t="s">
        <v>10</v>
      </c>
      <c r="K1" s="2" t="s">
        <v>73</v>
      </c>
      <c r="L1" s="2" t="s">
        <v>75</v>
      </c>
      <c r="M1" s="2" t="s">
        <v>76</v>
      </c>
      <c r="N1" s="2" t="s">
        <v>86</v>
      </c>
      <c r="O1" s="2" t="s">
        <v>89</v>
      </c>
      <c r="P1" s="2" t="s">
        <v>85</v>
      </c>
      <c r="Q1" s="4" t="s">
        <v>79</v>
      </c>
      <c r="R1" s="2" t="s">
        <v>80</v>
      </c>
      <c r="S1" s="10"/>
    </row>
    <row r="2" spans="1:19" x14ac:dyDescent="0.3">
      <c r="A2" s="3">
        <v>301</v>
      </c>
      <c r="B2" s="3" t="s">
        <v>11</v>
      </c>
      <c r="C2" s="3" t="str">
        <f>LEFT(D2,2)</f>
        <v>Am</v>
      </c>
      <c r="D2" s="3" t="s">
        <v>12</v>
      </c>
      <c r="E2" s="3" t="s">
        <v>13</v>
      </c>
      <c r="F2" s="3" t="str">
        <f>INDEX(Product_Master!B2:B4,MATCH(Sales_Data!D2,Product_Master!A2:A4,0))</f>
        <v>Electronics</v>
      </c>
      <c r="G2" s="3">
        <v>2</v>
      </c>
      <c r="H2" s="3">
        <v>45000</v>
      </c>
      <c r="I2" s="3">
        <f>ROUND(H2,1000)</f>
        <v>45000</v>
      </c>
      <c r="J2" s="3" t="s">
        <v>14</v>
      </c>
      <c r="K2" s="3">
        <f>PRODUCT(G2,H2)</f>
        <v>90000</v>
      </c>
      <c r="L2" s="3">
        <f>K2*VLOOKUP(answers!E2,Product_Master!A1:C4,3,FALSE)/100</f>
        <v>16200</v>
      </c>
      <c r="M2" s="3">
        <f>SUM(K2,L2)</f>
        <v>106200</v>
      </c>
      <c r="N2" s="3" t="str">
        <f>IF(M2&gt;85000,"MAX","MIN")</f>
        <v>MAX</v>
      </c>
      <c r="O2" s="3" t="str">
        <f>TEXT(J2,"MMMM")</f>
        <v>January</v>
      </c>
      <c r="P2" s="3" t="str">
        <f>IF(G2&gt;3,"HIGH","LOW")</f>
        <v>LOW</v>
      </c>
      <c r="Q2" s="5" t="s">
        <v>81</v>
      </c>
      <c r="R2" s="3">
        <f>SUMIF(B2:B7,Q2,K2:K7)</f>
        <v>90000</v>
      </c>
      <c r="S2" s="3"/>
    </row>
    <row r="3" spans="1:19" x14ac:dyDescent="0.3">
      <c r="A3" s="3">
        <v>302</v>
      </c>
      <c r="B3" s="3" t="s">
        <v>15</v>
      </c>
      <c r="C3" s="3" t="str">
        <f>LEFT(D3,2)</f>
        <v>Ri</v>
      </c>
      <c r="D3" s="3" t="s">
        <v>16</v>
      </c>
      <c r="E3" s="3" t="s">
        <v>17</v>
      </c>
      <c r="F3" s="3" t="str">
        <f>INDEX(Product_Master!B3:B5,MATCH(Sales_Data!D3,Product_Master!A3:A5,0))</f>
        <v>Electronics</v>
      </c>
      <c r="G3" s="3">
        <v>5</v>
      </c>
      <c r="H3" s="3">
        <v>15000</v>
      </c>
      <c r="I3" s="3">
        <f>ROUND(H3,1000)</f>
        <v>15000</v>
      </c>
      <c r="J3" s="3" t="s">
        <v>18</v>
      </c>
      <c r="K3" s="3">
        <f>PRODUCT(G3,H3)</f>
        <v>75000</v>
      </c>
      <c r="L3" s="3">
        <f>K3*VLOOKUP(answers!E3,Product_Master!A2:C5,3,FALSE)/100</f>
        <v>9000</v>
      </c>
      <c r="M3" s="3">
        <f>SUM(K3,L3)</f>
        <v>84000</v>
      </c>
      <c r="N3" s="3" t="str">
        <f>IF(M3&gt;85000,"MAX","MIN")</f>
        <v>MIN</v>
      </c>
      <c r="O3" s="3" t="str">
        <f>TEXT(J3,"MMMM")</f>
        <v>January</v>
      </c>
      <c r="P3" s="3" t="str">
        <f>IF(G3&gt;3,"HIGH","LOW")</f>
        <v>HIGH</v>
      </c>
      <c r="Q3" s="5" t="s">
        <v>82</v>
      </c>
      <c r="R3" s="3">
        <f>SUMIF(B3:B8,Q3,K3:K8)</f>
        <v>75000</v>
      </c>
      <c r="S3" s="3"/>
    </row>
    <row r="4" spans="1:19" x14ac:dyDescent="0.3">
      <c r="A4" s="3">
        <v>303</v>
      </c>
      <c r="B4" s="3" t="s">
        <v>19</v>
      </c>
      <c r="C4" s="3" t="str">
        <f>LEFT(D4,2)</f>
        <v>Ku</v>
      </c>
      <c r="D4" s="3" t="s">
        <v>20</v>
      </c>
      <c r="E4" s="3" t="s">
        <v>21</v>
      </c>
      <c r="F4" s="3" t="str">
        <f>INDEX(Product_Master!$B$4:$B$6,MATCH(Sales_Data!$D$4,Product_Master!$A$4:$A$6,0))</f>
        <v>Electronics</v>
      </c>
      <c r="G4" s="3">
        <v>3</v>
      </c>
      <c r="H4" s="3">
        <v>18000</v>
      </c>
      <c r="I4" s="3">
        <f>ROUND(H4,1000)</f>
        <v>18000</v>
      </c>
      <c r="J4" s="3" t="s">
        <v>22</v>
      </c>
      <c r="K4" s="3">
        <f>PRODUCT(G4,H4)</f>
        <v>54000</v>
      </c>
      <c r="L4" s="3">
        <f>K4*VLOOKUP(answers!E4,Product_Master!A3:C6,3,FALSE)/100</f>
        <v>6480</v>
      </c>
      <c r="M4" s="3">
        <f>SUM(K4,L4)</f>
        <v>60480</v>
      </c>
      <c r="N4" s="3" t="str">
        <f>IF(M4&gt;85000,"MAX","MIN")</f>
        <v>MIN</v>
      </c>
      <c r="O4" s="3" t="str">
        <f>TEXT(J4,"MMMM")</f>
        <v>January</v>
      </c>
      <c r="P4" s="3" t="str">
        <f>IF(G4&gt;3,"HIGH","LOW")</f>
        <v>LOW</v>
      </c>
      <c r="Q4" s="5" t="s">
        <v>83</v>
      </c>
      <c r="R4" s="3">
        <f>SUMIF(B4:B9,Q4,K4:K9)</f>
        <v>45000</v>
      </c>
      <c r="S4" s="3"/>
    </row>
    <row r="5" spans="1:19" x14ac:dyDescent="0.3">
      <c r="A5" s="3">
        <v>304</v>
      </c>
      <c r="B5" s="3" t="s">
        <v>23</v>
      </c>
      <c r="C5" s="3" t="str">
        <f>LEFT(D5,2)</f>
        <v>Ne</v>
      </c>
      <c r="D5" s="3" t="s">
        <v>24</v>
      </c>
      <c r="E5" s="3" t="s">
        <v>13</v>
      </c>
      <c r="F5" s="3" t="str">
        <f>INDEX(Product_Master!$B$4:$B$6,MATCH(Sales_Data!$D$4,Product_Master!$A$4:$A$6,0))</f>
        <v>Electronics</v>
      </c>
      <c r="G5" s="3">
        <v>1</v>
      </c>
      <c r="H5" s="3">
        <v>45000</v>
      </c>
      <c r="I5" s="3">
        <f>ROUND(H5,1000)</f>
        <v>45000</v>
      </c>
      <c r="J5" s="3" t="s">
        <v>25</v>
      </c>
      <c r="K5" s="3">
        <f>PRODUCT(G5,H5)</f>
        <v>45000</v>
      </c>
      <c r="L5" s="3">
        <f>K5*VLOOKUP(E5,Product_Master!A1:C4,3,FALSE)/100</f>
        <v>8100</v>
      </c>
      <c r="M5" s="3">
        <f>SUM(K5,L5)</f>
        <v>53100</v>
      </c>
      <c r="N5" s="3" t="str">
        <f>IF(M5&gt;85000,"MAX","MIN")</f>
        <v>MIN</v>
      </c>
      <c r="O5" s="3" t="str">
        <f>TEXT(J5,"MMMM")</f>
        <v>January</v>
      </c>
      <c r="P5" s="3" t="str">
        <f>IF(G5&gt;3,"HIGH","LOW")</f>
        <v>LOW</v>
      </c>
      <c r="Q5" s="5" t="s">
        <v>84</v>
      </c>
      <c r="R5" s="3">
        <f>SUMIF(B5:B10,Q5,K5:K10)</f>
        <v>0</v>
      </c>
      <c r="S5" s="3"/>
    </row>
    <row r="6" spans="1:19" x14ac:dyDescent="0.3">
      <c r="N6" s="3" t="str">
        <f>IF(M6&gt;85000,"MAX","MIN")</f>
        <v>MIN</v>
      </c>
      <c r="O6" s="3" t="str">
        <f>TEXT(J6,"MMMM")</f>
        <v>January</v>
      </c>
      <c r="P6" s="3" t="str">
        <f>IF(G6&gt;3,"HIGH","LOW")</f>
        <v>LOW</v>
      </c>
      <c r="S6" s="3"/>
    </row>
    <row r="7" spans="1:19" x14ac:dyDescent="0.3">
      <c r="N7" s="3" t="str">
        <f>IF(M7&gt;85000,"MAX","MIN")</f>
        <v>MIN</v>
      </c>
      <c r="O7" s="3" t="str">
        <f>TEXT(J7,"MMMM")</f>
        <v>January</v>
      </c>
      <c r="P7" s="3" t="str">
        <f>IF(G7&gt;3,"HIGH","LOW")</f>
        <v>LOW</v>
      </c>
      <c r="Q7" s="1"/>
      <c r="R7" s="1"/>
      <c r="S7" s="3"/>
    </row>
    <row r="8" spans="1:19" x14ac:dyDescent="0.3">
      <c r="A8" s="6">
        <f>COUNTA(A2:A7)</f>
        <v>4</v>
      </c>
      <c r="B8" s="3"/>
      <c r="C8" s="3"/>
      <c r="D8" s="3"/>
      <c r="E8" s="3">
        <f>COUNTIFS(answers!E2:E7,"laptop",answers!B2:B7,"north")</f>
        <v>1</v>
      </c>
      <c r="F8" s="3"/>
      <c r="G8" s="3"/>
      <c r="H8" s="3"/>
      <c r="I8" s="3"/>
      <c r="J8" s="3"/>
      <c r="K8" s="3"/>
      <c r="L8" s="3"/>
      <c r="M8" s="7">
        <f>SUM(M2:M7)</f>
        <v>303780</v>
      </c>
      <c r="N8" s="3" t="s">
        <v>77</v>
      </c>
      <c r="O8" s="3"/>
      <c r="P8" s="3"/>
      <c r="Q8" s="1"/>
      <c r="R8" s="1"/>
    </row>
    <row r="9" spans="1:19" x14ac:dyDescent="0.3">
      <c r="A9" s="3" t="s">
        <v>78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8">
        <f>MAX(M2:M7)</f>
        <v>106200</v>
      </c>
      <c r="N9" s="3" t="s">
        <v>87</v>
      </c>
      <c r="O9" s="3"/>
      <c r="P9" s="3"/>
      <c r="Q9" s="1"/>
      <c r="R9" s="1"/>
    </row>
    <row r="10" spans="1:19" x14ac:dyDescent="0.3">
      <c r="M10" s="9">
        <f>MIN(M2:M7)</f>
        <v>53100</v>
      </c>
      <c r="N10" t="s">
        <v>88</v>
      </c>
    </row>
    <row r="13" spans="1:19" x14ac:dyDescent="0.3">
      <c r="H13" s="2" t="s">
        <v>32</v>
      </c>
      <c r="I13" s="2"/>
      <c r="J13" s="2" t="s">
        <v>35</v>
      </c>
    </row>
    <row r="14" spans="1:19" x14ac:dyDescent="0.3">
      <c r="H14" s="3" t="s">
        <v>37</v>
      </c>
      <c r="I14" s="3"/>
      <c r="J14" s="3">
        <v>85</v>
      </c>
    </row>
    <row r="15" spans="1:19" x14ac:dyDescent="0.3">
      <c r="H15" s="3" t="s">
        <v>38</v>
      </c>
      <c r="I15" s="3"/>
      <c r="J15" s="3">
        <v>90</v>
      </c>
    </row>
    <row r="16" spans="1:19" x14ac:dyDescent="0.3">
      <c r="H16" s="3" t="s">
        <v>39</v>
      </c>
      <c r="I16" s="3"/>
      <c r="J16" s="3">
        <v>72</v>
      </c>
    </row>
    <row r="17" spans="4:16" x14ac:dyDescent="0.3">
      <c r="H17" s="3" t="s">
        <v>40</v>
      </c>
      <c r="I17" s="3"/>
      <c r="J17" s="3">
        <v>94</v>
      </c>
    </row>
    <row r="18" spans="4:16" x14ac:dyDescent="0.3">
      <c r="H18" s="3" t="s">
        <v>41</v>
      </c>
      <c r="I18" s="3"/>
      <c r="J18" s="3">
        <v>58</v>
      </c>
    </row>
    <row r="20" spans="4:16" x14ac:dyDescent="0.3">
      <c r="D20" s="2" t="s">
        <v>31</v>
      </c>
      <c r="E20" s="2" t="s">
        <v>32</v>
      </c>
      <c r="F20" s="2" t="s">
        <v>33</v>
      </c>
      <c r="G20" s="2" t="s">
        <v>34</v>
      </c>
      <c r="H20" s="2" t="s">
        <v>35</v>
      </c>
      <c r="I20" s="2"/>
      <c r="J20" s="2" t="s">
        <v>36</v>
      </c>
      <c r="K20" s="14" t="s">
        <v>90</v>
      </c>
      <c r="L20" s="2" t="s">
        <v>91</v>
      </c>
      <c r="M20" s="2" t="s">
        <v>93</v>
      </c>
      <c r="N20" s="2" t="s">
        <v>97</v>
      </c>
      <c r="O20" s="2" t="s">
        <v>99</v>
      </c>
      <c r="P20" s="3"/>
    </row>
    <row r="21" spans="4:16" x14ac:dyDescent="0.3">
      <c r="D21" s="3">
        <v>1</v>
      </c>
      <c r="E21" s="3" t="s">
        <v>37</v>
      </c>
      <c r="F21" s="3">
        <v>78</v>
      </c>
      <c r="G21" s="3">
        <v>82</v>
      </c>
      <c r="H21" s="3">
        <v>85</v>
      </c>
      <c r="I21" s="3"/>
      <c r="J21" s="3">
        <v>92</v>
      </c>
      <c r="K21" s="15">
        <f>AVERAGE(F21,G21,H21)</f>
        <v>81.666666666666671</v>
      </c>
      <c r="L21" s="3" t="str">
        <f>INDEX(answers!E21:E25,MATCH(MAX(answers!K21:K25),answers!K21:K25,0))</f>
        <v>Pooja</v>
      </c>
      <c r="M21" s="3" t="str" cm="1">
        <f t="array" ref="M21:M25">IF(J21:J25&gt;=85,"eligible","not eligible")</f>
        <v>eligible</v>
      </c>
      <c r="N21" s="3">
        <f>MEDIAN($G$21:$G$25)</f>
        <v>82</v>
      </c>
      <c r="O21" s="3" t="str">
        <f>_xlfn.CONCAT(D21,E21)</f>
        <v>1Rahul</v>
      </c>
      <c r="P21" s="3"/>
    </row>
    <row r="22" spans="4:16" x14ac:dyDescent="0.3">
      <c r="D22" s="3">
        <v>2</v>
      </c>
      <c r="E22" s="3" t="s">
        <v>38</v>
      </c>
      <c r="F22" s="3">
        <v>88</v>
      </c>
      <c r="G22" s="3">
        <v>91</v>
      </c>
      <c r="H22" s="3">
        <v>90</v>
      </c>
      <c r="I22" s="3"/>
      <c r="J22" s="3">
        <v>96</v>
      </c>
      <c r="K22" s="15">
        <f t="shared" ref="K22:K25" si="0">AVERAGE(F22,G22,H22)</f>
        <v>89.666666666666671</v>
      </c>
      <c r="L22" s="3"/>
      <c r="M22" s="3" t="str">
        <v>eligible</v>
      </c>
      <c r="N22" s="3">
        <f t="shared" ref="N22:N25" si="1">MEDIAN($G$21:$G$25)</f>
        <v>82</v>
      </c>
      <c r="O22" s="3" t="str">
        <f t="shared" ref="O22:O25" si="2">_xlfn.CONCAT(D22,E22)</f>
        <v>2Sneha</v>
      </c>
      <c r="P22" s="3"/>
    </row>
    <row r="23" spans="4:16" x14ac:dyDescent="0.3">
      <c r="D23" s="3">
        <v>3</v>
      </c>
      <c r="E23" s="3" t="s">
        <v>39</v>
      </c>
      <c r="F23" s="3">
        <v>65</v>
      </c>
      <c r="G23" s="3">
        <v>70</v>
      </c>
      <c r="H23" s="3">
        <v>72</v>
      </c>
      <c r="I23" s="3"/>
      <c r="J23" s="3">
        <v>85</v>
      </c>
      <c r="K23" s="15">
        <f t="shared" si="0"/>
        <v>69</v>
      </c>
      <c r="L23" s="3"/>
      <c r="M23" s="3" t="str">
        <v>eligible</v>
      </c>
      <c r="N23" s="3">
        <f t="shared" si="1"/>
        <v>82</v>
      </c>
      <c r="O23" s="3" t="str">
        <f t="shared" si="2"/>
        <v>3Arjun</v>
      </c>
      <c r="P23" s="3"/>
    </row>
    <row r="24" spans="4:16" x14ac:dyDescent="0.3">
      <c r="D24" s="3">
        <v>4</v>
      </c>
      <c r="E24" s="3" t="s">
        <v>40</v>
      </c>
      <c r="F24" s="3">
        <v>92</v>
      </c>
      <c r="G24" s="3">
        <v>89</v>
      </c>
      <c r="H24" s="3">
        <v>94</v>
      </c>
      <c r="I24" s="3"/>
      <c r="J24" s="3">
        <v>98</v>
      </c>
      <c r="K24" s="15">
        <f t="shared" si="0"/>
        <v>91.666666666666671</v>
      </c>
      <c r="L24" s="3"/>
      <c r="M24" s="3" t="str">
        <v>eligible</v>
      </c>
      <c r="N24" s="3">
        <f t="shared" si="1"/>
        <v>82</v>
      </c>
      <c r="O24" s="3" t="str">
        <f t="shared" si="2"/>
        <v>4Pooja</v>
      </c>
      <c r="P24" s="3"/>
    </row>
    <row r="25" spans="4:16" x14ac:dyDescent="0.3">
      <c r="D25" s="3">
        <v>5</v>
      </c>
      <c r="E25" s="3" t="s">
        <v>41</v>
      </c>
      <c r="F25" s="3">
        <v>55</v>
      </c>
      <c r="G25" s="3">
        <v>60</v>
      </c>
      <c r="H25" s="3">
        <v>58</v>
      </c>
      <c r="I25" s="3"/>
      <c r="J25" s="3">
        <v>80</v>
      </c>
      <c r="K25" s="15">
        <f t="shared" si="0"/>
        <v>57.666666666666664</v>
      </c>
      <c r="L25" s="3"/>
      <c r="M25" s="3" t="str">
        <v>not eligible</v>
      </c>
      <c r="N25" s="3">
        <f t="shared" si="1"/>
        <v>82</v>
      </c>
      <c r="O25" s="3" t="str">
        <f t="shared" si="2"/>
        <v>5Vikas</v>
      </c>
      <c r="P25" s="3"/>
    </row>
    <row r="26" spans="4:16" x14ac:dyDescent="0.3">
      <c r="D26" s="3"/>
      <c r="E26" s="3"/>
      <c r="F26" s="3"/>
      <c r="G26" s="3"/>
      <c r="H26" s="8">
        <f>_xlfn.STDEV.S(H21:H25)</f>
        <v>14.737706741552426</v>
      </c>
      <c r="I26" s="8"/>
      <c r="J26" s="16">
        <f>COUNTIF(J21:J25,"&gt;90")</f>
        <v>3</v>
      </c>
      <c r="K26" s="17">
        <f>MAX(K21:K25)</f>
        <v>91.666666666666671</v>
      </c>
      <c r="L26" s="3"/>
      <c r="M26" s="3"/>
      <c r="N26" s="3"/>
      <c r="O26" s="3"/>
      <c r="P26" s="3"/>
    </row>
    <row r="27" spans="4:16" x14ac:dyDescent="0.3">
      <c r="D27" s="3"/>
      <c r="E27" s="3"/>
      <c r="F27" s="3"/>
      <c r="G27" s="3"/>
      <c r="H27" s="3" t="s">
        <v>98</v>
      </c>
      <c r="I27" s="3"/>
      <c r="J27" s="3" t="s">
        <v>92</v>
      </c>
      <c r="K27" s="3"/>
      <c r="L27" s="3"/>
      <c r="M27" s="3"/>
      <c r="N27" s="3"/>
      <c r="O27" s="3"/>
      <c r="P27" s="3"/>
    </row>
  </sheetData>
  <autoFilter ref="A1:M10" xr:uid="{B87F99DE-A858-4014-9F31-A7FE933A33F8}"/>
  <sortState xmlns:xlrd2="http://schemas.microsoft.com/office/spreadsheetml/2017/richdata2" ref="M2:M7">
    <sortCondition descending="1" ref="M2:M7"/>
  </sortState>
  <conditionalFormatting sqref="M2:M5">
    <cfRule type="cellIs" dxfId="0" priority="1" operator="greaterThan">
      <formula>60000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2626-3DE3-4C2C-80C5-FBF8F29BF761}">
  <dimension ref="A3:I28"/>
  <sheetViews>
    <sheetView topLeftCell="A6" workbookViewId="0">
      <selection activeCell="O16" sqref="O16"/>
    </sheetView>
  </sheetViews>
  <sheetFormatPr defaultRowHeight="14.4" x14ac:dyDescent="0.3"/>
  <cols>
    <col min="1" max="1" width="12.5546875" bestFit="1" customWidth="1"/>
    <col min="2" max="2" width="21" bestFit="1" customWidth="1"/>
    <col min="3" max="5" width="6" bestFit="1" customWidth="1"/>
    <col min="6" max="6" width="7" bestFit="1" customWidth="1"/>
    <col min="7" max="7" width="10.77734375" bestFit="1" customWidth="1"/>
    <col min="8" max="8" width="12.5546875" bestFit="1" customWidth="1"/>
    <col min="9" max="9" width="21" bestFit="1" customWidth="1"/>
  </cols>
  <sheetData>
    <row r="3" spans="1:9" x14ac:dyDescent="0.3">
      <c r="A3" s="11" t="s">
        <v>94</v>
      </c>
      <c r="B3" t="s">
        <v>96</v>
      </c>
    </row>
    <row r="4" spans="1:9" x14ac:dyDescent="0.3">
      <c r="A4" s="12" t="s">
        <v>13</v>
      </c>
      <c r="B4" s="13">
        <v>265500</v>
      </c>
    </row>
    <row r="5" spans="1:9" x14ac:dyDescent="0.3">
      <c r="A5" s="12" t="s">
        <v>17</v>
      </c>
      <c r="B5" s="13">
        <v>151200</v>
      </c>
    </row>
    <row r="6" spans="1:9" x14ac:dyDescent="0.3">
      <c r="A6" s="12" t="s">
        <v>21</v>
      </c>
      <c r="B6" s="13">
        <v>60480</v>
      </c>
    </row>
    <row r="7" spans="1:9" x14ac:dyDescent="0.3">
      <c r="A7" s="12" t="s">
        <v>95</v>
      </c>
      <c r="B7" s="13">
        <v>477180</v>
      </c>
    </row>
    <row r="9" spans="1:9" x14ac:dyDescent="0.3">
      <c r="H9" s="11" t="s">
        <v>94</v>
      </c>
      <c r="I9" t="s">
        <v>96</v>
      </c>
    </row>
    <row r="10" spans="1:9" x14ac:dyDescent="0.3">
      <c r="H10" s="12" t="s">
        <v>19</v>
      </c>
      <c r="I10" s="13">
        <v>60480</v>
      </c>
    </row>
    <row r="11" spans="1:9" x14ac:dyDescent="0.3">
      <c r="H11" s="12" t="s">
        <v>11</v>
      </c>
      <c r="I11" s="13">
        <v>173400</v>
      </c>
    </row>
    <row r="12" spans="1:9" x14ac:dyDescent="0.3">
      <c r="H12" s="12" t="s">
        <v>15</v>
      </c>
      <c r="I12" s="13">
        <v>190200</v>
      </c>
    </row>
    <row r="13" spans="1:9" x14ac:dyDescent="0.3">
      <c r="H13" s="12" t="s">
        <v>23</v>
      </c>
      <c r="I13" s="13">
        <v>53100</v>
      </c>
    </row>
    <row r="14" spans="1:9" x14ac:dyDescent="0.3">
      <c r="H14" s="12" t="s">
        <v>95</v>
      </c>
      <c r="I14" s="13">
        <v>477180</v>
      </c>
    </row>
    <row r="24" spans="1:2" x14ac:dyDescent="0.3">
      <c r="A24" s="11" t="s">
        <v>94</v>
      </c>
      <c r="B24" t="s">
        <v>96</v>
      </c>
    </row>
    <row r="25" spans="1:2" x14ac:dyDescent="0.3">
      <c r="A25" s="12" t="s">
        <v>13</v>
      </c>
      <c r="B25" s="13">
        <v>265500</v>
      </c>
    </row>
    <row r="26" spans="1:2" x14ac:dyDescent="0.3">
      <c r="A26" s="12" t="s">
        <v>17</v>
      </c>
      <c r="B26" s="13">
        <v>151200</v>
      </c>
    </row>
    <row r="27" spans="1:2" x14ac:dyDescent="0.3">
      <c r="A27" s="12" t="s">
        <v>21</v>
      </c>
      <c r="B27" s="13">
        <v>60480</v>
      </c>
    </row>
    <row r="28" spans="1:2" x14ac:dyDescent="0.3">
      <c r="A28" s="12" t="s">
        <v>95</v>
      </c>
      <c r="B28" s="13">
        <v>477180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answers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Jha</cp:lastModifiedBy>
  <cp:lastPrinted>2026-07-26T07:53:50Z</cp:lastPrinted>
  <dcterms:created xsi:type="dcterms:W3CDTF">2025-12-20T09:26:06Z</dcterms:created>
  <dcterms:modified xsi:type="dcterms:W3CDTF">2026-07-26T07:54:48Z</dcterms:modified>
</cp:coreProperties>
</file>